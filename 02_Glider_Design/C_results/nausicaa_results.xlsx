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hl3422_ic_ac_uk/Documents/Year 4/Final Year Project/01 - Github/Nausicaa/02_Glider_Design/C_results/"/>
    </mc:Choice>
  </mc:AlternateContent>
  <xr:revisionPtr revIDLastSave="66" documentId="11_F85747D6B5C4E787C875B9239F204A9A932CC91D" xr6:coauthVersionLast="47" xr6:coauthVersionMax="47" xr10:uidLastSave="{FA8B2E36-AAD5-4D6E-B13B-99D58725FFDD}"/>
  <bookViews>
    <workbookView xWindow="-103" yWindow="-103" windowWidth="22149" windowHeight="11829" activeTab="1" xr2:uid="{00000000-000D-0000-FFFF-FFFF00000000}"/>
  </bookViews>
  <sheets>
    <sheet name="Summary" sheetId="1" r:id="rId1"/>
    <sheet name="Geometry" sheetId="2" r:id="rId2"/>
    <sheet name="MassBreakdown" sheetId="3" r:id="rId3"/>
    <sheet name="Aerodynamics" sheetId="4" r:id="rId4"/>
    <sheet name="Constraints" sheetId="5" r:id="rId5"/>
    <sheet name="ActiveConstraints" sheetId="6" r:id="rId6"/>
    <sheet name="SolverStats" sheetId="7" r:id="rId7"/>
    <sheet name="ObjectiveTerms" sheetId="8" r:id="rId8"/>
    <sheet name="DesignVarBounds" sheetId="9" r:id="rId9"/>
    <sheet name="DesignPoin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20" i="2"/>
  <c r="B19" i="2"/>
</calcChain>
</file>

<file path=xl/sharedStrings.xml><?xml version="1.0" encoding="utf-8"?>
<sst xmlns="http://schemas.openxmlformats.org/spreadsheetml/2006/main" count="985" uniqueCount="662">
  <si>
    <t>Metric</t>
  </si>
  <si>
    <t>Value</t>
  </si>
  <si>
    <t>Unit</t>
  </si>
  <si>
    <t>code_version</t>
  </si>
  <si>
    <t>0999b15-dirty</t>
  </si>
  <si>
    <t>-</t>
  </si>
  <si>
    <t>airfoil_model</t>
  </si>
  <si>
    <t>naca0002</t>
  </si>
  <si>
    <t>objective</t>
  </si>
  <si>
    <t>v_nom_mps</t>
  </si>
  <si>
    <t>m/s</t>
  </si>
  <si>
    <t>v_turn_mps</t>
  </si>
  <si>
    <t>turn_bank_deg</t>
  </si>
  <si>
    <t>deg</t>
  </si>
  <si>
    <t>bank_entry_time_s</t>
  </si>
  <si>
    <t>s</t>
  </si>
  <si>
    <t>arena_width_m</t>
  </si>
  <si>
    <t>m</t>
  </si>
  <si>
    <t>wall_clearance_m</t>
  </si>
  <si>
    <t>boom_length_m</t>
  </si>
  <si>
    <t>fuselage_tail_x_m</t>
  </si>
  <si>
    <t>fuselage_length_m</t>
  </si>
  <si>
    <t>alpha_trim_deg</t>
  </si>
  <si>
    <t>delta_a_trim_deg</t>
  </si>
  <si>
    <t>delta_e_trim_deg</t>
  </si>
  <si>
    <t>delta_r_trim_deg</t>
  </si>
  <si>
    <t>alpha_turn_deg</t>
  </si>
  <si>
    <t>delta_a_turn_deg</t>
  </si>
  <si>
    <t>delta_e_turn_deg</t>
  </si>
  <si>
    <t>delta_r_turn_deg</t>
  </si>
  <si>
    <t>mass_total_kg</t>
  </si>
  <si>
    <t>kg</t>
  </si>
  <si>
    <t>mass_penalty_mode</t>
  </si>
  <si>
    <t>all_mass</t>
  </si>
  <si>
    <t>mass_penalty_reference_kg</t>
  </si>
  <si>
    <t>mass_total_g</t>
  </si>
  <si>
    <t>g</t>
  </si>
  <si>
    <t>mass_total_lbm</t>
  </si>
  <si>
    <t>lbm</t>
  </si>
  <si>
    <t>total_cg_x_m</t>
  </si>
  <si>
    <t>total_cg_y_m</t>
  </si>
  <si>
    <t>total_cg_z_m</t>
  </si>
  <si>
    <t>total_cg_x_weighted_m</t>
  </si>
  <si>
    <t>total_cg_y_weighted_m</t>
  </si>
  <si>
    <t>total_cg_z_weighted_m</t>
  </si>
  <si>
    <t>total_cg_x_error_m</t>
  </si>
  <si>
    <t>total_cg_y_error_m</t>
  </si>
  <si>
    <t>total_cg_z_error_m</t>
  </si>
  <si>
    <t>mass_component_sum_kg</t>
  </si>
  <si>
    <t>battery_x_m</t>
  </si>
  <si>
    <t>sink_rate_mps</t>
  </si>
  <si>
    <t>L_over_D</t>
  </si>
  <si>
    <t>turn_radius_allow_raw_m</t>
  </si>
  <si>
    <t>turn_radius_allow_m</t>
  </si>
  <si>
    <t>a_lat_req_mps2</t>
  </si>
  <si>
    <t>m/s^2</t>
  </si>
  <si>
    <t>a_lat_ach_mps2</t>
  </si>
  <si>
    <t>turn_radius_ach_m</t>
  </si>
  <si>
    <t>turn_footprint_lhs_m</t>
  </si>
  <si>
    <t>agility_lateral_margin_mps2</t>
  </si>
  <si>
    <t>turn_CL</t>
  </si>
  <si>
    <t>wing_loading_n_m2</t>
  </si>
  <si>
    <t>N/m^2</t>
  </si>
  <si>
    <t>reynolds_wing</t>
  </si>
  <si>
    <t>static_margin</t>
  </si>
  <si>
    <t>MAC fraction</t>
  </si>
  <si>
    <t>tail_volume_horizontal</t>
  </si>
  <si>
    <t>tail_volume_vertical</t>
  </si>
  <si>
    <t>roll_rate_ss_radps</t>
  </si>
  <si>
    <t>rad/s</t>
  </si>
  <si>
    <t>roll_rate_ss_turn_radps</t>
  </si>
  <si>
    <t>roll_tau_turn_s</t>
  </si>
  <si>
    <t>delta_a_turn_eff_deg</t>
  </si>
  <si>
    <t>bank_entry_phi_capture_proxy_deg</t>
  </si>
  <si>
    <t>bank_entry_margin_deg</t>
  </si>
  <si>
    <t>bank_entry_phi_raw_deg</t>
  </si>
  <si>
    <t>bank_entry_phi_achieved_deg</t>
  </si>
  <si>
    <t>nominal_Cl_delta_a_fd</t>
  </si>
  <si>
    <t>1/rad</t>
  </si>
  <si>
    <t>turn_Cl_delta_a_fd</t>
  </si>
  <si>
    <t>roll_accel0_rad_s2</t>
  </si>
  <si>
    <t>rad/s^2</t>
  </si>
  <si>
    <t>roll_tau_s</t>
  </si>
  <si>
    <t>wing_tip_deflection_proxy_m</t>
  </si>
  <si>
    <t>wing_tip_deflection_proxy_allow_m</t>
  </si>
  <si>
    <t>wing_tip_deflection_proxy_semispan_fraction</t>
  </si>
  <si>
    <t>wing_tip_deflection_proxy_over_allow</t>
  </si>
  <si>
    <t>wing_struct_semispan_m</t>
  </si>
  <si>
    <t>wing_struct_half_load_n</t>
  </si>
  <si>
    <t>N</t>
  </si>
  <si>
    <t>wing_struct_line_load_n_m</t>
  </si>
  <si>
    <t>N/m</t>
  </si>
  <si>
    <t>wing_struct_E_pa</t>
  </si>
  <si>
    <t>Pa</t>
  </si>
  <si>
    <t>wing_struct_EI_Nm2</t>
  </si>
  <si>
    <t>N*m^2</t>
  </si>
  <si>
    <t>wing_struct_thickness_m</t>
  </si>
  <si>
    <t>htail_tip_deflection_proxy_m</t>
  </si>
  <si>
    <t>htail_tip_deflection_proxy_allow_m</t>
  </si>
  <si>
    <t>htail_tip_deflection_proxy_semispan_fraction</t>
  </si>
  <si>
    <t>htail_tip_deflection_proxy_over_allow</t>
  </si>
  <si>
    <t>htail_struct_semispan_m</t>
  </si>
  <si>
    <t>htail_struct_half_load_n</t>
  </si>
  <si>
    <t>htail_struct_line_load_n_m</t>
  </si>
  <si>
    <t>htail_struct_E_pa</t>
  </si>
  <si>
    <t>htail_struct_EI_Nm2</t>
  </si>
  <si>
    <t>htail_struct_thickness_m</t>
  </si>
  <si>
    <t>objective_struct_deflection_proxy_penalty</t>
  </si>
  <si>
    <t>objective_htail_deflection_proxy_penalty</t>
  </si>
  <si>
    <t>objective_roll_tau_penalty</t>
  </si>
  <si>
    <t>max_servo_utilization</t>
  </si>
  <si>
    <t>fraction</t>
  </si>
  <si>
    <t>J_sink</t>
  </si>
  <si>
    <t>J_mass</t>
  </si>
  <si>
    <t>J_trim</t>
  </si>
  <si>
    <t>J_wing_deflection</t>
  </si>
  <si>
    <t>J_htail_deflection</t>
  </si>
  <si>
    <t>J_roll_tau</t>
  </si>
  <si>
    <t>J_total</t>
  </si>
  <si>
    <t>objective_term_J_sink_value</t>
  </si>
  <si>
    <t>objective_term_J_sink_weight</t>
  </si>
  <si>
    <t>objective_term_J_sink_pct_total</t>
  </si>
  <si>
    <t>%</t>
  </si>
  <si>
    <t>objective_term_J_mass_value</t>
  </si>
  <si>
    <t>objective_term_J_mass_weight</t>
  </si>
  <si>
    <t>objective_term_J_mass_pct_total</t>
  </si>
  <si>
    <t>objective_term_J_trim_value</t>
  </si>
  <si>
    <t>objective_term_J_trim_weight</t>
  </si>
  <si>
    <t>objective_term_J_trim_pct_total</t>
  </si>
  <si>
    <t>objective_term_J_wing_deflection_value</t>
  </si>
  <si>
    <t>objective_term_J_wing_deflection_weight</t>
  </si>
  <si>
    <t>objective_term_J_wing_deflection_pct_total</t>
  </si>
  <si>
    <t>objective_term_J_htail_deflection_value</t>
  </si>
  <si>
    <t>objective_term_J_htail_deflection_weight</t>
  </si>
  <si>
    <t>objective_term_J_htail_deflection_pct_total</t>
  </si>
  <si>
    <t>objective_term_J_roll_tau_value</t>
  </si>
  <si>
    <t>objective_term_J_roll_tau_weight</t>
  </si>
  <si>
    <t>objective_term_J_roll_tau_pct_total</t>
  </si>
  <si>
    <t>objective_term_J_total_value</t>
  </si>
  <si>
    <t>objective_term_J_total_weight</t>
  </si>
  <si>
    <t>objective_term_J_total_pct_total</t>
  </si>
  <si>
    <t>objective_weight_w_sink</t>
  </si>
  <si>
    <t>objective_weight_w_mass</t>
  </si>
  <si>
    <t>objective_weight_w_trim_effort</t>
  </si>
  <si>
    <t>objective_weight_w_wing_deflection</t>
  </si>
  <si>
    <t>objective_weight_w_htail_deflection</t>
  </si>
  <si>
    <t>objective_weight_w_roll_tau</t>
  </si>
  <si>
    <t>objective_scale_sink_mps</t>
  </si>
  <si>
    <t>objective_scale_mass_kg</t>
  </si>
  <si>
    <t>objective_scale_trim_deg</t>
  </si>
  <si>
    <t>objective_scale_roll_tau_s</t>
  </si>
  <si>
    <t>design_var_bound_hits_count</t>
  </si>
  <si>
    <t>design_var_bound_hits</t>
  </si>
  <si>
    <t>wing_span_m:upper; tail_arm_m:lower</t>
  </si>
  <si>
    <t>Parameter</t>
  </si>
  <si>
    <t>wing_span_m</t>
  </si>
  <si>
    <t>wing_chord_m</t>
  </si>
  <si>
    <t>wing_area_m2</t>
  </si>
  <si>
    <t>m^2</t>
  </si>
  <si>
    <t>wing_aspect_ratio</t>
  </si>
  <si>
    <t>htail_span_m</t>
  </si>
  <si>
    <t>htail_area_m2</t>
  </si>
  <si>
    <t>vtail_height_m</t>
  </si>
  <si>
    <t>vtail_chord_m</t>
  </si>
  <si>
    <t>vtail_area_m2</t>
  </si>
  <si>
    <t>aileron_semispan_start</t>
  </si>
  <si>
    <t>eta</t>
  </si>
  <si>
    <t>aileron_semispan_end</t>
  </si>
  <si>
    <t>aileron_chord_fraction</t>
  </si>
  <si>
    <t>Component</t>
  </si>
  <si>
    <t>Mass_kg</t>
  </si>
  <si>
    <t>Mass_g</t>
  </si>
  <si>
    <t>x_cg_m</t>
  </si>
  <si>
    <t>y_cg_m</t>
  </si>
  <si>
    <t>z_cg_m</t>
  </si>
  <si>
    <t>Ixx_kgm2</t>
  </si>
  <si>
    <t>Iyy_kgm2</t>
  </si>
  <si>
    <t>Izz_kgm2</t>
  </si>
  <si>
    <t>wing</t>
  </si>
  <si>
    <t>centre module core</t>
  </si>
  <si>
    <t>glue</t>
  </si>
  <si>
    <t>boom</t>
  </si>
  <si>
    <t>receiver</t>
  </si>
  <si>
    <t>wing_spar_tube</t>
  </si>
  <si>
    <t>battery</t>
  </si>
  <si>
    <t>htail_surfaces</t>
  </si>
  <si>
    <t>servo_elevator</t>
  </si>
  <si>
    <t>servo_rudder</t>
  </si>
  <si>
    <t>servo_aileron_R</t>
  </si>
  <si>
    <t>servo_aileron_L</t>
  </si>
  <si>
    <t>wing mount R fwd</t>
  </si>
  <si>
    <t>wing mount R aft</t>
  </si>
  <si>
    <t>wing mount L fwd</t>
  </si>
  <si>
    <t>wing mount L aft</t>
  </si>
  <si>
    <t>tail module core</t>
  </si>
  <si>
    <t>wing_tape_bottom</t>
  </si>
  <si>
    <t>wing_tape_top</t>
  </si>
  <si>
    <t>linkages</t>
  </si>
  <si>
    <t>regulator</t>
  </si>
  <si>
    <t>tail support</t>
  </si>
  <si>
    <t>vtail_surfaces</t>
  </si>
  <si>
    <t>htail mount R</t>
  </si>
  <si>
    <t>htail mount L</t>
  </si>
  <si>
    <t>vtail mount</t>
  </si>
  <si>
    <t>htail_tape_bottom</t>
  </si>
  <si>
    <t>htail_tape_top</t>
  </si>
  <si>
    <t>wing mount spar joiner fwd</t>
  </si>
  <si>
    <t>vtail_tape_side_a</t>
  </si>
  <si>
    <t>vtail_tape_side_b</t>
  </si>
  <si>
    <t>wing_spar_slot_void</t>
  </si>
  <si>
    <t>Coefficient</t>
  </si>
  <si>
    <t>nominal_CD</t>
  </si>
  <si>
    <t>nominal_CDa</t>
  </si>
  <si>
    <t>nominal_CDb</t>
  </si>
  <si>
    <t>nominal_CDp</t>
  </si>
  <si>
    <t>nominal_CDq</t>
  </si>
  <si>
    <t>nominal_CDr</t>
  </si>
  <si>
    <t>nominal_CL</t>
  </si>
  <si>
    <t>nominal_CLa</t>
  </si>
  <si>
    <t>nominal_CLb</t>
  </si>
  <si>
    <t>nominal_CLp</t>
  </si>
  <si>
    <t>nominal_CLq</t>
  </si>
  <si>
    <t>nominal_CLr</t>
  </si>
  <si>
    <t>nominal_CY</t>
  </si>
  <si>
    <t>nominal_CYa</t>
  </si>
  <si>
    <t>nominal_CYb</t>
  </si>
  <si>
    <t>nominal_CYp</t>
  </si>
  <si>
    <t>nominal_CYq</t>
  </si>
  <si>
    <t>nominal_CYr</t>
  </si>
  <si>
    <t>nominal_Cl</t>
  </si>
  <si>
    <t>nominal_Cla</t>
  </si>
  <si>
    <t>nominal_Clb</t>
  </si>
  <si>
    <t>nominal_Clp</t>
  </si>
  <si>
    <t>nominal_Clq</t>
  </si>
  <si>
    <t>nominal_Clr</t>
  </si>
  <si>
    <t>nominal_Cm</t>
  </si>
  <si>
    <t>nominal_Cma</t>
  </si>
  <si>
    <t>nominal_Cmb</t>
  </si>
  <si>
    <t>nominal_Cmp</t>
  </si>
  <si>
    <t>nominal_Cmq</t>
  </si>
  <si>
    <t>nominal_Cmr</t>
  </si>
  <si>
    <t>nominal_Cn</t>
  </si>
  <si>
    <t>nominal_Cna</t>
  </si>
  <si>
    <t>nominal_Cnb</t>
  </si>
  <si>
    <t>nominal_Cnp</t>
  </si>
  <si>
    <t>nominal_Cnq</t>
  </si>
  <si>
    <t>nominal_Cnr</t>
  </si>
  <si>
    <t>nominal_D</t>
  </si>
  <si>
    <t>nominal_D_induced</t>
  </si>
  <si>
    <t>nominal_D_profile</t>
  </si>
  <si>
    <t>nominal_F_b</t>
  </si>
  <si>
    <t>nominal_F_g</t>
  </si>
  <si>
    <t>nominal_F_w</t>
  </si>
  <si>
    <t>nominal_L</t>
  </si>
  <si>
    <t>nominal_M_b</t>
  </si>
  <si>
    <t>nominal_M_g</t>
  </si>
  <si>
    <t>nominal_M_w</t>
  </si>
  <si>
    <t>nominal_Y</t>
  </si>
  <si>
    <t>nominal_fuselage_aero_components</t>
  </si>
  <si>
    <t>[AeroComponentResults(
	L=0.000340437824685027,
	Y=0.0,
	D=0.0012461336137824343,
	l_b=0.0,
	m_b=-3.601981611802251e-05,
	n_b=-0.0,
	span_effective=0.004055451774444796, oswalds_efficiency=0.95,
)]</t>
  </si>
  <si>
    <t>nominal_l_b</t>
  </si>
  <si>
    <t>nominal_m_b</t>
  </si>
  <si>
    <t>nominal_n_b</t>
  </si>
  <si>
    <t>nominal_wing_aero_components</t>
  </si>
  <si>
    <t>[AeroComponentResults(
	L=0.9168592898139383,
	Y=-2.498001805406602e-16,
	D=0.06055915724284599,
	l_b=-3.608224830031759e-16,
	m_b=0.07213813865433602,
	n_b=-2.0816681711721685e-17,
	span_effective=0.7500878943334834, oswalds_efficiency=0.8072554931486365,
), AeroComponentResults(
	L=0.23572195200352128,
	Y=0.0,
	D=0.018196401858493014,
	l_b=-0.0,
	m_b=-0.07218097051784401,
	n_b=-0.0,
	span_effective=0.3655521648352896, oswalds_efficiency=0.8106853777008906,
), AeroComponentResults(
	L=-2.710505431213761e-20,
	Y=5.4974890701027866e-17,
	D=0.002895250232398816,
	l_b=2.6135223325848924e-18,
	m_b=7.831215113148152e-05,
	n_b=-1.6875462972090752e-17,
	span_effective=0.1187676990826549, oswalds_efficiency=0.8232692748986458,
)]</t>
  </si>
  <si>
    <t>nominal_x_np</t>
  </si>
  <si>
    <t>nominal_x_np_lateral</t>
  </si>
  <si>
    <t>turn_CD</t>
  </si>
  <si>
    <t>turn_CDa</t>
  </si>
  <si>
    <t>turn_CDb</t>
  </si>
  <si>
    <t>turn_CDp</t>
  </si>
  <si>
    <t>turn_CDq</t>
  </si>
  <si>
    <t>turn_CDr</t>
  </si>
  <si>
    <t>turn_CLa</t>
  </si>
  <si>
    <t>turn_CLb</t>
  </si>
  <si>
    <t>turn_CLp</t>
  </si>
  <si>
    <t>turn_CLq</t>
  </si>
  <si>
    <t>turn_CLr</t>
  </si>
  <si>
    <t>turn_CY</t>
  </si>
  <si>
    <t>turn_CYa</t>
  </si>
  <si>
    <t>turn_CYb</t>
  </si>
  <si>
    <t>turn_CYp</t>
  </si>
  <si>
    <t>turn_CYq</t>
  </si>
  <si>
    <t>turn_CYr</t>
  </si>
  <si>
    <t>turn_Cl</t>
  </si>
  <si>
    <t>turn_Cla</t>
  </si>
  <si>
    <t>turn_Clb</t>
  </si>
  <si>
    <t>turn_Clp</t>
  </si>
  <si>
    <t>turn_Clq</t>
  </si>
  <si>
    <t>turn_Clr</t>
  </si>
  <si>
    <t>turn_Cm</t>
  </si>
  <si>
    <t>turn_Cma</t>
  </si>
  <si>
    <t>turn_Cmb</t>
  </si>
  <si>
    <t>turn_Cmp</t>
  </si>
  <si>
    <t>turn_Cmq</t>
  </si>
  <si>
    <t>turn_Cmr</t>
  </si>
  <si>
    <t>turn_Cn</t>
  </si>
  <si>
    <t>turn_Cna</t>
  </si>
  <si>
    <t>turn_Cnb</t>
  </si>
  <si>
    <t>turn_Cnp</t>
  </si>
  <si>
    <t>turn_Cnq</t>
  </si>
  <si>
    <t>turn_Cnr</t>
  </si>
  <si>
    <t>turn_D</t>
  </si>
  <si>
    <t>turn_D_induced</t>
  </si>
  <si>
    <t>turn_D_profile</t>
  </si>
  <si>
    <t>turn_F_b</t>
  </si>
  <si>
    <t>turn_F_g</t>
  </si>
  <si>
    <t>turn_F_w</t>
  </si>
  <si>
    <t>turn_L</t>
  </si>
  <si>
    <t>turn_M_b</t>
  </si>
  <si>
    <t>turn_M_g</t>
  </si>
  <si>
    <t>turn_M_w</t>
  </si>
  <si>
    <t>turn_Y</t>
  </si>
  <si>
    <t>turn_fuselage_aero_components</t>
  </si>
  <si>
    <t>turn_l_b</t>
  </si>
  <si>
    <t>turn_m_b</t>
  </si>
  <si>
    <t>turn_n_b</t>
  </si>
  <si>
    <t>turn_wing_aero_components</t>
  </si>
  <si>
    <t>turn_x_np</t>
  </si>
  <si>
    <t>turn_x_np_lateral</t>
  </si>
  <si>
    <t>Constraint</t>
  </si>
  <si>
    <t>Lower</t>
  </si>
  <si>
    <t>Upper</t>
  </si>
  <si>
    <t>Tolerance</t>
  </si>
  <si>
    <t>Pass</t>
  </si>
  <si>
    <t>Type</t>
  </si>
  <si>
    <t>SlackLower</t>
  </si>
  <si>
    <t>SlackUpper</t>
  </si>
  <si>
    <t>Residual</t>
  </si>
  <si>
    <t>AbsResidual</t>
  </si>
  <si>
    <t>Margin</t>
  </si>
  <si>
    <t>NormMargin</t>
  </si>
  <si>
    <t>IsActive</t>
  </si>
  <si>
    <t>Lift &gt;= Weight</t>
  </si>
  <si>
    <t>ineq</t>
  </si>
  <si>
    <t>Drag &gt;= 0</t>
  </si>
  <si>
    <t>Nominal Trim Cm tolerance</t>
  </si>
  <si>
    <t>Nominal Trim Cl</t>
  </si>
  <si>
    <t>eq</t>
  </si>
  <si>
    <t>Nominal Trim Cn</t>
  </si>
  <si>
    <t>CL &lt;= CLmax</t>
  </si>
  <si>
    <t>L/D minimum</t>
  </si>
  <si>
    <t>Wing loading minimum</t>
  </si>
  <si>
    <t>Wing loading maximum</t>
  </si>
  <si>
    <t>Wing Reynolds</t>
  </si>
  <si>
    <t>Static margin minimum</t>
  </si>
  <si>
    <t>Static margin maximum</t>
  </si>
  <si>
    <t>Vh minimum</t>
  </si>
  <si>
    <t>Vh maximum</t>
  </si>
  <si>
    <t>Vv minimum</t>
  </si>
  <si>
    <t>Vv maximum</t>
  </si>
  <si>
    <t>Clb &lt;= 0</t>
  </si>
  <si>
    <t>Cnb &gt;= 0</t>
  </si>
  <si>
    <t>Clp nominal &lt;= -eps</t>
  </si>
  <si>
    <t>Roll rate (diag)</t>
  </si>
  <si>
    <t>Roll accel0 (diag)</t>
  </si>
  <si>
    <t>Roll time constant (diag)</t>
  </si>
  <si>
    <t>Aileron servo torque</t>
  </si>
  <si>
    <t>Elevator servo torque</t>
  </si>
  <si>
    <t>Rudder servo torque</t>
  </si>
  <si>
    <t>Turn alpha (diag)</t>
  </si>
  <si>
    <t>Turn CL (diag)</t>
  </si>
  <si>
    <t>Agility lateral margin (diag)</t>
  </si>
  <si>
    <t>Turn footprint lhs (diag)</t>
  </si>
  <si>
    <t>Turn Cm (diag)</t>
  </si>
  <si>
    <t>Turn Clp (diag)</t>
  </si>
  <si>
    <t>Turn bank-entry capture proxy (diag)</t>
  </si>
  <si>
    <t>Turn bank-entry margin (diag)</t>
  </si>
  <si>
    <t>Turn bank-entry phi raw (diag)</t>
  </si>
  <si>
    <t>Turn aileron trim util (diag)</t>
  </si>
  <si>
    <t>Turn elevator trim util (diag)</t>
  </si>
  <si>
    <t>Turn rudder trim util (diag)</t>
  </si>
  <si>
    <t>H-tail tip deflection proxy (diag)</t>
  </si>
  <si>
    <t>H-tail tip deflection proxy allow (diag)</t>
  </si>
  <si>
    <t>H-tail deflection proxy penalty (diag)</t>
  </si>
  <si>
    <t>Key</t>
  </si>
  <si>
    <t>iter_count</t>
  </si>
  <si>
    <t>iterations.alpha_du[0]</t>
  </si>
  <si>
    <t>iterations.alpha_du[10]</t>
  </si>
  <si>
    <t>iterations.alpha_du[11]</t>
  </si>
  <si>
    <t>iterations.alpha_du[12]</t>
  </si>
  <si>
    <t>iterations.alpha_du[13]</t>
  </si>
  <si>
    <t>iterations.alpha_du[14]</t>
  </si>
  <si>
    <t>iterations.alpha_du[15]</t>
  </si>
  <si>
    <t>iterations.alpha_du[16]</t>
  </si>
  <si>
    <t>iterations.alpha_du[17]</t>
  </si>
  <si>
    <t>iterations.alpha_du[18]</t>
  </si>
  <si>
    <t>iterations.alpha_du[19]</t>
  </si>
  <si>
    <t>iterations.alpha_du[1]</t>
  </si>
  <si>
    <t>iterations.alpha_du[20]</t>
  </si>
  <si>
    <t>iterations.alpha_du[21]</t>
  </si>
  <si>
    <t>iterations.alpha_du[22]</t>
  </si>
  <si>
    <t>iterations.alpha_du[23]</t>
  </si>
  <si>
    <t>iterations.alpha_du[24]</t>
  </si>
  <si>
    <t>iterations.alpha_du[25]</t>
  </si>
  <si>
    <t>iterations.alpha_du[2]</t>
  </si>
  <si>
    <t>iterations.alpha_du[3]</t>
  </si>
  <si>
    <t>iterations.alpha_du[4]</t>
  </si>
  <si>
    <t>iterations.alpha_du[5]</t>
  </si>
  <si>
    <t>iterations.alpha_du[6]</t>
  </si>
  <si>
    <t>iterations.alpha_du[7]</t>
  </si>
  <si>
    <t>iterations.alpha_du[8]</t>
  </si>
  <si>
    <t>iterations.alpha_du[9]</t>
  </si>
  <si>
    <t>iterations.alpha_pr[0]</t>
  </si>
  <si>
    <t>iterations.alpha_pr[10]</t>
  </si>
  <si>
    <t>iterations.alpha_pr[11]</t>
  </si>
  <si>
    <t>iterations.alpha_pr[12]</t>
  </si>
  <si>
    <t>iterations.alpha_pr[13]</t>
  </si>
  <si>
    <t>iterations.alpha_pr[14]</t>
  </si>
  <si>
    <t>iterations.alpha_pr[15]</t>
  </si>
  <si>
    <t>iterations.alpha_pr[16]</t>
  </si>
  <si>
    <t>iterations.alpha_pr[17]</t>
  </si>
  <si>
    <t>iterations.alpha_pr[18]</t>
  </si>
  <si>
    <t>iterations.alpha_pr[19]</t>
  </si>
  <si>
    <t>iterations.alpha_pr[1]</t>
  </si>
  <si>
    <t>iterations.alpha_pr[20]</t>
  </si>
  <si>
    <t>iterations.alpha_pr[21]</t>
  </si>
  <si>
    <t>iterations.alpha_pr[22]</t>
  </si>
  <si>
    <t>iterations.alpha_pr[23]</t>
  </si>
  <si>
    <t>iterations.alpha_pr[24]</t>
  </si>
  <si>
    <t>iterations.alpha_pr[25]</t>
  </si>
  <si>
    <t>iterations.alpha_pr[2]</t>
  </si>
  <si>
    <t>iterations.alpha_pr[3]</t>
  </si>
  <si>
    <t>iterations.alpha_pr[4]</t>
  </si>
  <si>
    <t>iterations.alpha_pr[5]</t>
  </si>
  <si>
    <t>iterations.alpha_pr[6]</t>
  </si>
  <si>
    <t>iterations.alpha_pr[7]</t>
  </si>
  <si>
    <t>iterations.alpha_pr[8]</t>
  </si>
  <si>
    <t>iterations.alpha_pr[9]</t>
  </si>
  <si>
    <t>iterations.d_norm[0]</t>
  </si>
  <si>
    <t>iterations.d_norm[10]</t>
  </si>
  <si>
    <t>iterations.d_norm[11]</t>
  </si>
  <si>
    <t>iterations.d_norm[12]</t>
  </si>
  <si>
    <t>iterations.d_norm[13]</t>
  </si>
  <si>
    <t>iterations.d_norm[14]</t>
  </si>
  <si>
    <t>iterations.d_norm[15]</t>
  </si>
  <si>
    <t>iterations.d_norm[16]</t>
  </si>
  <si>
    <t>iterations.d_norm[17]</t>
  </si>
  <si>
    <t>iterations.d_norm[18]</t>
  </si>
  <si>
    <t>iterations.d_norm[19]</t>
  </si>
  <si>
    <t>iterations.d_norm[1]</t>
  </si>
  <si>
    <t>iterations.d_norm[20]</t>
  </si>
  <si>
    <t>iterations.d_norm[21]</t>
  </si>
  <si>
    <t>iterations.d_norm[22]</t>
  </si>
  <si>
    <t>iterations.d_norm[23]</t>
  </si>
  <si>
    <t>iterations.d_norm[24]</t>
  </si>
  <si>
    <t>iterations.d_norm[25]</t>
  </si>
  <si>
    <t>iterations.d_norm[2]</t>
  </si>
  <si>
    <t>iterations.d_norm[3]</t>
  </si>
  <si>
    <t>iterations.d_norm[4]</t>
  </si>
  <si>
    <t>iterations.d_norm[5]</t>
  </si>
  <si>
    <t>iterations.d_norm[6]</t>
  </si>
  <si>
    <t>iterations.d_norm[7]</t>
  </si>
  <si>
    <t>iterations.d_norm[8]</t>
  </si>
  <si>
    <t>iterations.d_norm[9]</t>
  </si>
  <si>
    <t>iterations.inf_du[0]</t>
  </si>
  <si>
    <t>iterations.inf_du[10]</t>
  </si>
  <si>
    <t>iterations.inf_du[11]</t>
  </si>
  <si>
    <t>iterations.inf_du[12]</t>
  </si>
  <si>
    <t>iterations.inf_du[13]</t>
  </si>
  <si>
    <t>iterations.inf_du[14]</t>
  </si>
  <si>
    <t>iterations.inf_du[15]</t>
  </si>
  <si>
    <t>iterations.inf_du[16]</t>
  </si>
  <si>
    <t>iterations.inf_du[17]</t>
  </si>
  <si>
    <t>iterations.inf_du[18]</t>
  </si>
  <si>
    <t>iterations.inf_du[19]</t>
  </si>
  <si>
    <t>iterations.inf_du[1]</t>
  </si>
  <si>
    <t>iterations.inf_du[20]</t>
  </si>
  <si>
    <t>iterations.inf_du[21]</t>
  </si>
  <si>
    <t>iterations.inf_du[22]</t>
  </si>
  <si>
    <t>iterations.inf_du[23]</t>
  </si>
  <si>
    <t>iterations.inf_du[24]</t>
  </si>
  <si>
    <t>iterations.inf_du[25]</t>
  </si>
  <si>
    <t>iterations.inf_du[2]</t>
  </si>
  <si>
    <t>iterations.inf_du[3]</t>
  </si>
  <si>
    <t>iterations.inf_du[4]</t>
  </si>
  <si>
    <t>iterations.inf_du[5]</t>
  </si>
  <si>
    <t>iterations.inf_du[6]</t>
  </si>
  <si>
    <t>iterations.inf_du[7]</t>
  </si>
  <si>
    <t>iterations.inf_du[8]</t>
  </si>
  <si>
    <t>iterations.inf_du[9]</t>
  </si>
  <si>
    <t>iterations.inf_pr[0]</t>
  </si>
  <si>
    <t>iterations.inf_pr[10]</t>
  </si>
  <si>
    <t>iterations.inf_pr[11]</t>
  </si>
  <si>
    <t>iterations.inf_pr[12]</t>
  </si>
  <si>
    <t>iterations.inf_pr[13]</t>
  </si>
  <si>
    <t>iterations.inf_pr[14]</t>
  </si>
  <si>
    <t>iterations.inf_pr[15]</t>
  </si>
  <si>
    <t>iterations.inf_pr[16]</t>
  </si>
  <si>
    <t>iterations.inf_pr[17]</t>
  </si>
  <si>
    <t>iterations.inf_pr[18]</t>
  </si>
  <si>
    <t>iterations.inf_pr[19]</t>
  </si>
  <si>
    <t>iterations.inf_pr[1]</t>
  </si>
  <si>
    <t>iterations.inf_pr[20]</t>
  </si>
  <si>
    <t>iterations.inf_pr[21]</t>
  </si>
  <si>
    <t>iterations.inf_pr[22]</t>
  </si>
  <si>
    <t>iterations.inf_pr[23]</t>
  </si>
  <si>
    <t>iterations.inf_pr[24]</t>
  </si>
  <si>
    <t>iterations.inf_pr[25]</t>
  </si>
  <si>
    <t>iterations.inf_pr[2]</t>
  </si>
  <si>
    <t>iterations.inf_pr[3]</t>
  </si>
  <si>
    <t>iterations.inf_pr[4]</t>
  </si>
  <si>
    <t>iterations.inf_pr[5]</t>
  </si>
  <si>
    <t>iterations.inf_pr[6]</t>
  </si>
  <si>
    <t>iterations.inf_pr[7]</t>
  </si>
  <si>
    <t>iterations.inf_pr[8]</t>
  </si>
  <si>
    <t>iterations.inf_pr[9]</t>
  </si>
  <si>
    <t>iterations.mu[0]</t>
  </si>
  <si>
    <t>iterations.mu[10]</t>
  </si>
  <si>
    <t>iterations.mu[11]</t>
  </si>
  <si>
    <t>iterations.mu[12]</t>
  </si>
  <si>
    <t>iterations.mu[13]</t>
  </si>
  <si>
    <t>iterations.mu[14]</t>
  </si>
  <si>
    <t>iterations.mu[15]</t>
  </si>
  <si>
    <t>iterations.mu[16]</t>
  </si>
  <si>
    <t>iterations.mu[17]</t>
  </si>
  <si>
    <t>iterations.mu[18]</t>
  </si>
  <si>
    <t>iterations.mu[19]</t>
  </si>
  <si>
    <t>iterations.mu[1]</t>
  </si>
  <si>
    <t>iterations.mu[20]</t>
  </si>
  <si>
    <t>iterations.mu[21]</t>
  </si>
  <si>
    <t>iterations.mu[22]</t>
  </si>
  <si>
    <t>iterations.mu[23]</t>
  </si>
  <si>
    <t>iterations.mu[24]</t>
  </si>
  <si>
    <t>iterations.mu[25]</t>
  </si>
  <si>
    <t>iterations.mu[2]</t>
  </si>
  <si>
    <t>iterations.mu[3]</t>
  </si>
  <si>
    <t>iterations.mu[4]</t>
  </si>
  <si>
    <t>iterations.mu[5]</t>
  </si>
  <si>
    <t>iterations.mu[6]</t>
  </si>
  <si>
    <t>iterations.mu[7]</t>
  </si>
  <si>
    <t>iterations.mu[8]</t>
  </si>
  <si>
    <t>iterations.mu[9]</t>
  </si>
  <si>
    <t>iterations.obj[0]</t>
  </si>
  <si>
    <t>iterations.obj[10]</t>
  </si>
  <si>
    <t>iterations.obj[11]</t>
  </si>
  <si>
    <t>iterations.obj[12]</t>
  </si>
  <si>
    <t>iterations.obj[13]</t>
  </si>
  <si>
    <t>iterations.obj[14]</t>
  </si>
  <si>
    <t>iterations.obj[15]</t>
  </si>
  <si>
    <t>iterations.obj[16]</t>
  </si>
  <si>
    <t>iterations.obj[17]</t>
  </si>
  <si>
    <t>iterations.obj[18]</t>
  </si>
  <si>
    <t>iterations.obj[19]</t>
  </si>
  <si>
    <t>iterations.obj[1]</t>
  </si>
  <si>
    <t>iterations.obj[20]</t>
  </si>
  <si>
    <t>iterations.obj[21]</t>
  </si>
  <si>
    <t>iterations.obj[22]</t>
  </si>
  <si>
    <t>iterations.obj[23]</t>
  </si>
  <si>
    <t>iterations.obj[24]</t>
  </si>
  <si>
    <t>iterations.obj[25]</t>
  </si>
  <si>
    <t>iterations.obj[2]</t>
  </si>
  <si>
    <t>iterations.obj[3]</t>
  </si>
  <si>
    <t>iterations.obj[4]</t>
  </si>
  <si>
    <t>iterations.obj[5]</t>
  </si>
  <si>
    <t>iterations.obj[6]</t>
  </si>
  <si>
    <t>iterations.obj[7]</t>
  </si>
  <si>
    <t>iterations.obj[8]</t>
  </si>
  <si>
    <t>iterations.obj[9]</t>
  </si>
  <si>
    <t>iterations.regularization_size[0]</t>
  </si>
  <si>
    <t>iterations.regularization_size[10]</t>
  </si>
  <si>
    <t>iterations.regularization_size[11]</t>
  </si>
  <si>
    <t>iterations.regularization_size[12]</t>
  </si>
  <si>
    <t>iterations.regularization_size[13]</t>
  </si>
  <si>
    <t>iterations.regularization_size[14]</t>
  </si>
  <si>
    <t>iterations.regularization_size[15]</t>
  </si>
  <si>
    <t>iterations.regularization_size[16]</t>
  </si>
  <si>
    <t>iterations.regularization_size[17]</t>
  </si>
  <si>
    <t>iterations.regularization_size[18]</t>
  </si>
  <si>
    <t>iterations.regularization_size[19]</t>
  </si>
  <si>
    <t>iterations.regularization_size[1]</t>
  </si>
  <si>
    <t>iterations.regularization_size[20]</t>
  </si>
  <si>
    <t>iterations.regularization_size[21]</t>
  </si>
  <si>
    <t>iterations.regularization_size[22]</t>
  </si>
  <si>
    <t>iterations.regularization_size[23]</t>
  </si>
  <si>
    <t>iterations.regularization_size[24]</t>
  </si>
  <si>
    <t>iterations.regularization_size[25]</t>
  </si>
  <si>
    <t>iterations.regularization_size[2]</t>
  </si>
  <si>
    <t>iterations.regularization_size[3]</t>
  </si>
  <si>
    <t>iterations.regularization_size[4]</t>
  </si>
  <si>
    <t>iterations.regularization_size[5]</t>
  </si>
  <si>
    <t>iterations.regularization_size[6]</t>
  </si>
  <si>
    <t>iterations.regularization_size[7]</t>
  </si>
  <si>
    <t>iterations.regularization_size[8]</t>
  </si>
  <si>
    <t>iterations.regularization_size[9]</t>
  </si>
  <si>
    <t>n_call_callback_fun</t>
  </si>
  <si>
    <t>n_call_nlp_f</t>
  </si>
  <si>
    <t>n_call_nlp_g</t>
  </si>
  <si>
    <t>n_call_nlp_grad</t>
  </si>
  <si>
    <t>n_call_nlp_grad_f</t>
  </si>
  <si>
    <t>n_call_nlp_hess_l</t>
  </si>
  <si>
    <t>n_call_nlp_jac_g</t>
  </si>
  <si>
    <t>n_call_total</t>
  </si>
  <si>
    <t>return_status</t>
  </si>
  <si>
    <t>Solve_Succeeded</t>
  </si>
  <si>
    <t>success</t>
  </si>
  <si>
    <t>t_proc_callback_fun</t>
  </si>
  <si>
    <t>t_proc_nlp_f</t>
  </si>
  <si>
    <t>t_proc_nlp_g</t>
  </si>
  <si>
    <t>t_proc_nlp_grad</t>
  </si>
  <si>
    <t>t_proc_nlp_grad_f</t>
  </si>
  <si>
    <t>t_proc_nlp_hess_l</t>
  </si>
  <si>
    <t>t_proc_nlp_jac_g</t>
  </si>
  <si>
    <t>t_proc_total</t>
  </si>
  <si>
    <t>t_wall_callback_fun</t>
  </si>
  <si>
    <t>t_wall_nlp_f</t>
  </si>
  <si>
    <t>t_wall_nlp_g</t>
  </si>
  <si>
    <t>t_wall_nlp_grad</t>
  </si>
  <si>
    <t>t_wall_nlp_grad_f</t>
  </si>
  <si>
    <t>t_wall_nlp_hess_l</t>
  </si>
  <si>
    <t>t_wall_nlp_jac_g</t>
  </si>
  <si>
    <t>t_wall_total</t>
  </si>
  <si>
    <t>unified_return_status</t>
  </si>
  <si>
    <t>SOLVER_RET_SUCCESS</t>
  </si>
  <si>
    <t>Term</t>
  </si>
  <si>
    <t>WeightKey</t>
  </si>
  <si>
    <t>Weight</t>
  </si>
  <si>
    <t>PercentOfTotal</t>
  </si>
  <si>
    <t>w_sink</t>
  </si>
  <si>
    <t>w_mass</t>
  </si>
  <si>
    <t>w_trim_effort</t>
  </si>
  <si>
    <t>w_wing_deflection</t>
  </si>
  <si>
    <t>w_htail_deflection</t>
  </si>
  <si>
    <t>w_roll_tau</t>
  </si>
  <si>
    <t>Variable</t>
  </si>
  <si>
    <t>BoundHit</t>
  </si>
  <si>
    <t>IsAtBoundary</t>
  </si>
  <si>
    <t>Warning</t>
  </si>
  <si>
    <t>alpha_nom_deg</t>
  </si>
  <si>
    <t>none</t>
  </si>
  <si>
    <t>delta_a_nom_deg</t>
  </si>
  <si>
    <t>delta_e_nom_deg</t>
  </si>
  <si>
    <t>delta_r_nom_deg</t>
  </si>
  <si>
    <t>upper</t>
  </si>
  <si>
    <t>[WARN] wing_span_m hit upper bound (value=0.75, upper=0.75, tol=0.00075).</t>
  </si>
  <si>
    <t>tail_arm_m</t>
  </si>
  <si>
    <t>lower</t>
  </si>
  <si>
    <t>[WARN] tail_arm_m hit lower bound (value=0.4, lower=0.4, tol=0.0008).</t>
  </si>
  <si>
    <t>DesignPoint</t>
  </si>
  <si>
    <t>Settings</t>
  </si>
  <si>
    <t>V_NOM_MPS</t>
  </si>
  <si>
    <t>V_TURN_MPS</t>
  </si>
  <si>
    <t>TURN_BANK_DEG</t>
  </si>
  <si>
    <t>WALL_CLEARANCE_M</t>
  </si>
  <si>
    <t>BANK_ENTRY_TIME_S</t>
  </si>
  <si>
    <t>Arena</t>
  </si>
  <si>
    <t>ARENA_LENGTH_M</t>
  </si>
  <si>
    <t>ARENA_WIDTH_M</t>
  </si>
  <si>
    <t>ARENA_HEIGHT_M</t>
  </si>
  <si>
    <t>Nominal</t>
  </si>
  <si>
    <t>sink_nom_mps</t>
  </si>
  <si>
    <t>CL_nom</t>
  </si>
  <si>
    <t>Cl_delta_a_fd</t>
  </si>
  <si>
    <t>Manoeuvre</t>
  </si>
  <si>
    <t>CL_turn</t>
  </si>
  <si>
    <t>dihedral_deg</t>
    <phoneticPr fontId="2" type="noConversion"/>
  </si>
  <si>
    <t>m</t>
    <phoneticPr fontId="2" type="noConversion"/>
  </si>
  <si>
    <t>htail_chord_m</t>
    <phoneticPr fontId="2" type="noConversion"/>
  </si>
  <si>
    <t>htail_span_m</t>
    <phoneticPr fontId="2" type="noConversion"/>
  </si>
  <si>
    <t>wing_AC_m</t>
    <phoneticPr fontId="2" type="noConversion"/>
  </si>
  <si>
    <t>htail_AC_m</t>
    <phoneticPr fontId="2" type="noConversion"/>
  </si>
  <si>
    <t>vtail_AC_m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</si>
</sst>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8"/>
  <sheetViews>
    <sheetView topLeftCell="A106" workbookViewId="0">
      <selection activeCell="D27" sqref="D27"/>
    </sheetView>
  </sheetViews>
  <sheetFormatPr defaultRowHeight="14" x14ac:dyDescent="0.25"/>
  <cols>
    <col min="1" max="1" width="22.90625" customWidth="1"/>
    <col min="2" max="2" width="12.81640625" customWidth="1"/>
    <col min="4" max="4" width="12.45312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>
        <v>2.1662673950455948</v>
      </c>
      <c r="C4" t="s">
        <v>5</v>
      </c>
    </row>
    <row r="5" spans="1:3" x14ac:dyDescent="0.25">
      <c r="A5" t="s">
        <v>9</v>
      </c>
      <c r="B5">
        <v>6.5</v>
      </c>
      <c r="C5" t="s">
        <v>10</v>
      </c>
    </row>
    <row r="6" spans="1:3" x14ac:dyDescent="0.25">
      <c r="A6" t="s">
        <v>11</v>
      </c>
      <c r="B6">
        <v>4</v>
      </c>
      <c r="C6" t="s">
        <v>10</v>
      </c>
    </row>
    <row r="7" spans="1:3" x14ac:dyDescent="0.25">
      <c r="A7" t="s">
        <v>12</v>
      </c>
      <c r="B7">
        <v>50</v>
      </c>
      <c r="C7" t="s">
        <v>13</v>
      </c>
    </row>
    <row r="8" spans="1:3" x14ac:dyDescent="0.25">
      <c r="A8" t="s">
        <v>14</v>
      </c>
      <c r="B8">
        <v>0.2</v>
      </c>
      <c r="C8" t="s">
        <v>15</v>
      </c>
    </row>
    <row r="9" spans="1:3" x14ac:dyDescent="0.25">
      <c r="A9" t="s">
        <v>16</v>
      </c>
      <c r="B9">
        <v>4.8</v>
      </c>
      <c r="C9" t="s">
        <v>17</v>
      </c>
    </row>
    <row r="10" spans="1:3" x14ac:dyDescent="0.25">
      <c r="A10" t="s">
        <v>18</v>
      </c>
      <c r="B10">
        <v>0.2</v>
      </c>
      <c r="C10" t="s">
        <v>17</v>
      </c>
    </row>
    <row r="11" spans="1:3" x14ac:dyDescent="0.25">
      <c r="A11" t="s">
        <v>19</v>
      </c>
      <c r="B11">
        <v>0.56397162325106132</v>
      </c>
      <c r="C11" t="s">
        <v>17</v>
      </c>
    </row>
    <row r="12" spans="1:3" x14ac:dyDescent="0.25">
      <c r="A12" t="s">
        <v>20</v>
      </c>
      <c r="B12">
        <v>0.46397162325106128</v>
      </c>
      <c r="C12" t="s">
        <v>17</v>
      </c>
    </row>
    <row r="13" spans="1:3" x14ac:dyDescent="0.25">
      <c r="A13" t="s">
        <v>21</v>
      </c>
      <c r="B13">
        <v>0.56397162325106132</v>
      </c>
      <c r="C13" t="s">
        <v>17</v>
      </c>
    </row>
    <row r="14" spans="1:3" x14ac:dyDescent="0.25">
      <c r="A14" t="s">
        <v>22</v>
      </c>
      <c r="B14">
        <v>3.8080354659860869</v>
      </c>
      <c r="C14" t="s">
        <v>13</v>
      </c>
    </row>
    <row r="15" spans="1:3" x14ac:dyDescent="0.25">
      <c r="A15" t="s">
        <v>23</v>
      </c>
      <c r="B15">
        <v>7.8653558859592498E-15</v>
      </c>
      <c r="C15" t="s">
        <v>13</v>
      </c>
    </row>
    <row r="16" spans="1:3" x14ac:dyDescent="0.25">
      <c r="A16" t="s">
        <v>24</v>
      </c>
      <c r="B16">
        <v>-0.1140304863710548</v>
      </c>
      <c r="C16" t="s">
        <v>13</v>
      </c>
    </row>
    <row r="17" spans="1:3" x14ac:dyDescent="0.25">
      <c r="A17" t="s">
        <v>25</v>
      </c>
      <c r="B17">
        <v>-1.367107440935978E-14</v>
      </c>
      <c r="C17" t="s">
        <v>13</v>
      </c>
    </row>
    <row r="18" spans="1:3" x14ac:dyDescent="0.25">
      <c r="A18" t="s">
        <v>26</v>
      </c>
      <c r="B18">
        <v>3.8080354659860869</v>
      </c>
      <c r="C18" t="s">
        <v>13</v>
      </c>
    </row>
    <row r="19" spans="1:3" x14ac:dyDescent="0.25">
      <c r="A19" t="s">
        <v>27</v>
      </c>
      <c r="B19">
        <v>7.8653558859592498E-15</v>
      </c>
      <c r="C19" t="s">
        <v>13</v>
      </c>
    </row>
    <row r="20" spans="1:3" x14ac:dyDescent="0.25">
      <c r="A20" t="s">
        <v>28</v>
      </c>
      <c r="B20">
        <v>-0.1140304863710548</v>
      </c>
      <c r="C20" t="s">
        <v>13</v>
      </c>
    </row>
    <row r="21" spans="1:3" x14ac:dyDescent="0.25">
      <c r="A21" t="s">
        <v>29</v>
      </c>
      <c r="B21">
        <v>-1.367107440935978E-14</v>
      </c>
      <c r="C21" t="s">
        <v>13</v>
      </c>
    </row>
    <row r="22" spans="1:3" x14ac:dyDescent="0.25">
      <c r="A22" t="s">
        <v>30</v>
      </c>
      <c r="B22">
        <v>0.11752514675141509</v>
      </c>
      <c r="C22" t="s">
        <v>31</v>
      </c>
    </row>
    <row r="23" spans="1:3" x14ac:dyDescent="0.25">
      <c r="A23" t="s">
        <v>32</v>
      </c>
      <c r="B23" t="s">
        <v>33</v>
      </c>
      <c r="C23" t="s">
        <v>5</v>
      </c>
    </row>
    <row r="24" spans="1:3" x14ac:dyDescent="0.25">
      <c r="A24" t="s">
        <v>34</v>
      </c>
      <c r="B24">
        <v>0.11752514675141509</v>
      </c>
      <c r="C24" t="s">
        <v>31</v>
      </c>
    </row>
    <row r="25" spans="1:3" x14ac:dyDescent="0.25">
      <c r="A25" t="s">
        <v>35</v>
      </c>
      <c r="B25">
        <v>117.52514675141509</v>
      </c>
      <c r="C25" t="s">
        <v>36</v>
      </c>
    </row>
    <row r="26" spans="1:3" x14ac:dyDescent="0.25">
      <c r="A26" t="s">
        <v>37</v>
      </c>
      <c r="B26">
        <v>0.25909859716426681</v>
      </c>
      <c r="C26" t="s">
        <v>38</v>
      </c>
    </row>
    <row r="27" spans="1:3" x14ac:dyDescent="0.25">
      <c r="A27" t="s">
        <v>39</v>
      </c>
      <c r="B27">
        <v>0.113736149419482</v>
      </c>
      <c r="C27" t="s">
        <v>17</v>
      </c>
    </row>
    <row r="28" spans="1:3" x14ac:dyDescent="0.25">
      <c r="A28" t="s">
        <v>40</v>
      </c>
      <c r="B28">
        <v>0</v>
      </c>
      <c r="C28" t="s">
        <v>17</v>
      </c>
    </row>
    <row r="29" spans="1:3" x14ac:dyDescent="0.25">
      <c r="A29" t="s">
        <v>41</v>
      </c>
      <c r="B29">
        <v>1.58435610015062E-2</v>
      </c>
      <c r="C29" t="s">
        <v>17</v>
      </c>
    </row>
    <row r="30" spans="1:3" x14ac:dyDescent="0.25">
      <c r="A30" t="s">
        <v>42</v>
      </c>
      <c r="B30">
        <v>0.113736149419482</v>
      </c>
      <c r="C30" t="s">
        <v>17</v>
      </c>
    </row>
    <row r="31" spans="1:3" x14ac:dyDescent="0.25">
      <c r="A31" t="s">
        <v>43</v>
      </c>
      <c r="B31">
        <v>0</v>
      </c>
      <c r="C31" t="s">
        <v>17</v>
      </c>
    </row>
    <row r="32" spans="1:3" x14ac:dyDescent="0.25">
      <c r="A32" t="s">
        <v>44</v>
      </c>
      <c r="B32">
        <v>1.584356100150619E-2</v>
      </c>
      <c r="C32" t="s">
        <v>17</v>
      </c>
    </row>
    <row r="33" spans="1:3" x14ac:dyDescent="0.25">
      <c r="A33" t="s">
        <v>45</v>
      </c>
      <c r="B33">
        <v>0</v>
      </c>
      <c r="C33" t="s">
        <v>17</v>
      </c>
    </row>
    <row r="34" spans="1:3" x14ac:dyDescent="0.25">
      <c r="A34" t="s">
        <v>46</v>
      </c>
      <c r="B34">
        <v>0</v>
      </c>
      <c r="C34" t="s">
        <v>17</v>
      </c>
    </row>
    <row r="35" spans="1:3" x14ac:dyDescent="0.25">
      <c r="A35" t="s">
        <v>47</v>
      </c>
      <c r="B35">
        <v>3.4694469519536142E-18</v>
      </c>
      <c r="C35" t="s">
        <v>17</v>
      </c>
    </row>
    <row r="36" spans="1:3" x14ac:dyDescent="0.25">
      <c r="A36" t="s">
        <v>48</v>
      </c>
      <c r="B36">
        <v>0.11752514675141509</v>
      </c>
      <c r="C36" t="s">
        <v>31</v>
      </c>
    </row>
    <row r="37" spans="1:3" x14ac:dyDescent="0.25">
      <c r="A37" t="s">
        <v>49</v>
      </c>
      <c r="B37">
        <v>1.6159917649024299E-2</v>
      </c>
      <c r="C37" t="s">
        <v>17</v>
      </c>
    </row>
    <row r="38" spans="1:3" x14ac:dyDescent="0.25">
      <c r="A38" t="s">
        <v>50</v>
      </c>
      <c r="B38">
        <v>0.67031355376587765</v>
      </c>
      <c r="C38" t="s">
        <v>10</v>
      </c>
    </row>
    <row r="39" spans="1:3" x14ac:dyDescent="0.25">
      <c r="A39" t="s">
        <v>51</v>
      </c>
      <c r="B39">
        <v>9.6969543688392257</v>
      </c>
      <c r="C39" t="s">
        <v>5</v>
      </c>
    </row>
    <row r="40" spans="1:3" x14ac:dyDescent="0.25">
      <c r="A40" t="s">
        <v>52</v>
      </c>
      <c r="B40">
        <v>1.824999996252064</v>
      </c>
      <c r="C40" t="s">
        <v>17</v>
      </c>
    </row>
    <row r="41" spans="1:3" x14ac:dyDescent="0.25">
      <c r="A41" t="s">
        <v>53</v>
      </c>
      <c r="B41">
        <v>1.824999996252064</v>
      </c>
      <c r="C41" t="s">
        <v>17</v>
      </c>
    </row>
    <row r="42" spans="1:3" x14ac:dyDescent="0.25">
      <c r="A42" t="s">
        <v>54</v>
      </c>
      <c r="B42">
        <v>8.7671233056759572</v>
      </c>
      <c r="C42" t="s">
        <v>55</v>
      </c>
    </row>
    <row r="43" spans="1:3" x14ac:dyDescent="0.25">
      <c r="A43" t="s">
        <v>56</v>
      </c>
      <c r="B43">
        <v>7.514895921886005</v>
      </c>
      <c r="C43" t="s">
        <v>55</v>
      </c>
    </row>
    <row r="44" spans="1:3" x14ac:dyDescent="0.25">
      <c r="A44" t="s">
        <v>57</v>
      </c>
      <c r="B44">
        <v>2.1291046697536289</v>
      </c>
      <c r="C44" t="s">
        <v>17</v>
      </c>
    </row>
    <row r="45" spans="1:3" x14ac:dyDescent="0.25">
      <c r="A45" t="s">
        <v>58</v>
      </c>
      <c r="B45">
        <v>2.7041046735015661</v>
      </c>
      <c r="C45" t="s">
        <v>17</v>
      </c>
    </row>
    <row r="46" spans="1:3" x14ac:dyDescent="0.25">
      <c r="A46" t="s">
        <v>59</v>
      </c>
      <c r="B46">
        <v>-1.252227383789952</v>
      </c>
      <c r="C46" t="s">
        <v>55</v>
      </c>
    </row>
    <row r="47" spans="1:3" x14ac:dyDescent="0.25">
      <c r="A47" t="s">
        <v>60</v>
      </c>
      <c r="B47">
        <v>0.35532273919989299</v>
      </c>
      <c r="C47" t="s">
        <v>5</v>
      </c>
    </row>
    <row r="48" spans="1:3" x14ac:dyDescent="0.25">
      <c r="A48" t="s">
        <v>61</v>
      </c>
      <c r="B48">
        <v>9.1950800039563934</v>
      </c>
      <c r="C48" t="s">
        <v>62</v>
      </c>
    </row>
    <row r="49" spans="1:3" x14ac:dyDescent="0.25">
      <c r="A49" t="s">
        <v>63</v>
      </c>
      <c r="B49">
        <v>73262.374121864079</v>
      </c>
      <c r="C49" t="s">
        <v>5</v>
      </c>
    </row>
    <row r="50" spans="1:3" x14ac:dyDescent="0.25">
      <c r="A50" t="s">
        <v>64</v>
      </c>
      <c r="B50">
        <v>0.10000000992353759</v>
      </c>
      <c r="C50" t="s">
        <v>65</v>
      </c>
    </row>
    <row r="51" spans="1:3" x14ac:dyDescent="0.25">
      <c r="A51" t="s">
        <v>66</v>
      </c>
      <c r="B51">
        <v>0.64732134603071834</v>
      </c>
      <c r="C51" t="s">
        <v>5</v>
      </c>
    </row>
    <row r="52" spans="1:3" x14ac:dyDescent="0.25">
      <c r="A52" t="s">
        <v>67</v>
      </c>
      <c r="B52">
        <v>2.999999002391656E-2</v>
      </c>
      <c r="C52" t="s">
        <v>5</v>
      </c>
    </row>
    <row r="53" spans="1:3" x14ac:dyDescent="0.25">
      <c r="A53" t="s">
        <v>68</v>
      </c>
      <c r="B53">
        <v>5.2397110819878439</v>
      </c>
      <c r="C53" t="s">
        <v>69</v>
      </c>
    </row>
    <row r="54" spans="1:3" x14ac:dyDescent="0.25">
      <c r="A54" t="s">
        <v>70</v>
      </c>
      <c r="B54">
        <v>2.7407719505782571</v>
      </c>
      <c r="C54" t="s">
        <v>69</v>
      </c>
    </row>
    <row r="55" spans="1:3" x14ac:dyDescent="0.25">
      <c r="A55" t="s">
        <v>71</v>
      </c>
      <c r="B55">
        <v>3.7170441248321147E-2</v>
      </c>
      <c r="C55" t="s">
        <v>15</v>
      </c>
    </row>
    <row r="56" spans="1:3" x14ac:dyDescent="0.25">
      <c r="A56" t="s">
        <v>72</v>
      </c>
      <c r="B56">
        <v>25.5</v>
      </c>
      <c r="C56" t="s">
        <v>13</v>
      </c>
    </row>
    <row r="57" spans="1:3" x14ac:dyDescent="0.25">
      <c r="A57" t="s">
        <v>73</v>
      </c>
      <c r="B57">
        <v>25.57077861162896</v>
      </c>
      <c r="C57" t="s">
        <v>13</v>
      </c>
    </row>
    <row r="58" spans="1:3" x14ac:dyDescent="0.25">
      <c r="A58" t="s">
        <v>74</v>
      </c>
      <c r="B58">
        <v>-24.403255810358889</v>
      </c>
      <c r="C58" t="s">
        <v>13</v>
      </c>
    </row>
    <row r="59" spans="1:3" x14ac:dyDescent="0.25">
      <c r="A59" t="s">
        <v>75</v>
      </c>
      <c r="B59">
        <v>25.596744189641111</v>
      </c>
      <c r="C59" t="s">
        <v>13</v>
      </c>
    </row>
    <row r="60" spans="1:3" x14ac:dyDescent="0.25">
      <c r="A60" t="s">
        <v>76</v>
      </c>
      <c r="B60">
        <v>25.596744189641111</v>
      </c>
      <c r="C60" t="s">
        <v>13</v>
      </c>
    </row>
    <row r="61" spans="1:3" x14ac:dyDescent="0.25">
      <c r="A61" t="s">
        <v>77</v>
      </c>
      <c r="B61">
        <v>-0.82724261728227877</v>
      </c>
      <c r="C61" t="s">
        <v>78</v>
      </c>
    </row>
    <row r="62" spans="1:3" x14ac:dyDescent="0.25">
      <c r="A62" t="s">
        <v>79</v>
      </c>
      <c r="B62">
        <v>-0.82724261728227877</v>
      </c>
      <c r="C62" t="s">
        <v>78</v>
      </c>
    </row>
    <row r="63" spans="1:3" x14ac:dyDescent="0.25">
      <c r="A63" t="s">
        <v>80</v>
      </c>
      <c r="B63">
        <v>229.06724327935751</v>
      </c>
      <c r="C63" t="s">
        <v>81</v>
      </c>
    </row>
    <row r="64" spans="1:3" x14ac:dyDescent="0.25">
      <c r="A64" t="s">
        <v>82</v>
      </c>
      <c r="B64">
        <v>2.2874117691274561E-2</v>
      </c>
      <c r="C64" t="s">
        <v>15</v>
      </c>
    </row>
    <row r="65" spans="1:3" x14ac:dyDescent="0.25">
      <c r="A65" t="s">
        <v>83</v>
      </c>
      <c r="B65">
        <v>8.1523686977879387E-3</v>
      </c>
      <c r="C65" t="s">
        <v>17</v>
      </c>
    </row>
    <row r="66" spans="1:3" x14ac:dyDescent="0.25">
      <c r="A66" t="s">
        <v>84</v>
      </c>
      <c r="B66">
        <v>3.0000000299834909E-2</v>
      </c>
      <c r="C66" t="s">
        <v>17</v>
      </c>
    </row>
    <row r="67" spans="1:3" x14ac:dyDescent="0.25">
      <c r="A67" t="s">
        <v>85</v>
      </c>
      <c r="B67">
        <v>2.1739649643490979E-2</v>
      </c>
      <c r="C67" t="s">
        <v>5</v>
      </c>
    </row>
    <row r="68" spans="1:3" x14ac:dyDescent="0.25">
      <c r="A68" t="s">
        <v>86</v>
      </c>
      <c r="B68">
        <v>0.27174562054363721</v>
      </c>
      <c r="C68" t="s">
        <v>5</v>
      </c>
    </row>
    <row r="69" spans="1:3" x14ac:dyDescent="0.25">
      <c r="A69" t="s">
        <v>87</v>
      </c>
      <c r="B69">
        <v>0.38078498326290872</v>
      </c>
      <c r="C69" t="s">
        <v>17</v>
      </c>
    </row>
    <row r="70" spans="1:3" x14ac:dyDescent="0.25">
      <c r="A70" t="s">
        <v>88</v>
      </c>
      <c r="B70">
        <v>0.57646083982107221</v>
      </c>
      <c r="C70" t="s">
        <v>89</v>
      </c>
    </row>
    <row r="71" spans="1:3" x14ac:dyDescent="0.25">
      <c r="A71" t="s">
        <v>90</v>
      </c>
      <c r="B71">
        <v>1.5138749298395029</v>
      </c>
      <c r="C71" t="s">
        <v>91</v>
      </c>
    </row>
    <row r="72" spans="1:3" x14ac:dyDescent="0.25">
      <c r="A72" t="s">
        <v>92</v>
      </c>
      <c r="B72">
        <v>1500000</v>
      </c>
      <c r="C72" t="s">
        <v>93</v>
      </c>
    </row>
    <row r="73" spans="1:3" x14ac:dyDescent="0.25">
      <c r="A73" t="s">
        <v>94</v>
      </c>
      <c r="B73">
        <v>0.46611150909528132</v>
      </c>
      <c r="C73" t="s">
        <v>95</v>
      </c>
    </row>
    <row r="74" spans="1:3" x14ac:dyDescent="0.25">
      <c r="A74" t="s">
        <v>96</v>
      </c>
      <c r="B74">
        <v>6.0000000000000001E-3</v>
      </c>
      <c r="C74" t="s">
        <v>17</v>
      </c>
    </row>
    <row r="75" spans="1:3" x14ac:dyDescent="0.25">
      <c r="A75" t="s">
        <v>97</v>
      </c>
      <c r="B75">
        <v>2.045221041526817E-3</v>
      </c>
      <c r="C75" t="s">
        <v>17</v>
      </c>
    </row>
    <row r="76" spans="1:3" x14ac:dyDescent="0.25">
      <c r="A76" t="s">
        <v>98</v>
      </c>
      <c r="B76">
        <v>1.462208659341158E-2</v>
      </c>
      <c r="C76" t="s">
        <v>17</v>
      </c>
    </row>
    <row r="77" spans="1:3" x14ac:dyDescent="0.25">
      <c r="A77" t="s">
        <v>99</v>
      </c>
      <c r="B77">
        <v>1.118976298470754E-2</v>
      </c>
      <c r="C77" t="s">
        <v>5</v>
      </c>
    </row>
    <row r="78" spans="1:3" x14ac:dyDescent="0.25">
      <c r="A78" t="s">
        <v>100</v>
      </c>
      <c r="B78">
        <v>0.13987203730884429</v>
      </c>
      <c r="C78" t="s">
        <v>5</v>
      </c>
    </row>
    <row r="79" spans="1:3" x14ac:dyDescent="0.25">
      <c r="A79" t="s">
        <v>101</v>
      </c>
      <c r="B79">
        <v>0.18277608241764479</v>
      </c>
      <c r="C79" t="s">
        <v>17</v>
      </c>
    </row>
    <row r="80" spans="1:3" x14ac:dyDescent="0.25">
      <c r="A80" t="s">
        <v>102</v>
      </c>
      <c r="B80">
        <v>0.14411520995526811</v>
      </c>
      <c r="C80" t="s">
        <v>89</v>
      </c>
    </row>
    <row r="81" spans="1:3" x14ac:dyDescent="0.25">
      <c r="A81" t="s">
        <v>103</v>
      </c>
      <c r="B81">
        <v>0.78847958687484976</v>
      </c>
      <c r="C81" t="s">
        <v>91</v>
      </c>
    </row>
    <row r="82" spans="1:3" x14ac:dyDescent="0.25">
      <c r="A82" t="s">
        <v>104</v>
      </c>
      <c r="B82">
        <v>1000000</v>
      </c>
      <c r="C82" t="s">
        <v>93</v>
      </c>
    </row>
    <row r="83" spans="1:3" x14ac:dyDescent="0.25">
      <c r="A83" t="s">
        <v>105</v>
      </c>
      <c r="B83">
        <v>5.3782089759386503E-2</v>
      </c>
      <c r="C83" t="s">
        <v>95</v>
      </c>
    </row>
    <row r="84" spans="1:3" x14ac:dyDescent="0.25">
      <c r="A84" t="s">
        <v>106</v>
      </c>
      <c r="B84">
        <v>3.0000000000000001E-3</v>
      </c>
      <c r="C84" t="s">
        <v>17</v>
      </c>
    </row>
    <row r="85" spans="1:3" x14ac:dyDescent="0.25">
      <c r="A85" t="s">
        <v>107</v>
      </c>
      <c r="B85">
        <v>1.310723987774028</v>
      </c>
      <c r="C85" t="s">
        <v>5</v>
      </c>
    </row>
    <row r="86" spans="1:3" x14ac:dyDescent="0.25">
      <c r="A86" t="s">
        <v>108</v>
      </c>
      <c r="B86">
        <v>0.1174456015503173</v>
      </c>
      <c r="C86" t="s">
        <v>5</v>
      </c>
    </row>
    <row r="87" spans="1:3" x14ac:dyDescent="0.25">
      <c r="A87" t="s">
        <v>109</v>
      </c>
      <c r="B87">
        <v>1.2559079004922589E-2</v>
      </c>
      <c r="C87" t="s">
        <v>5</v>
      </c>
    </row>
    <row r="88" spans="1:3" x14ac:dyDescent="0.25">
      <c r="A88" t="s">
        <v>110</v>
      </c>
      <c r="B88">
        <v>4.8075402125693934E-3</v>
      </c>
      <c r="C88" t="s">
        <v>111</v>
      </c>
    </row>
    <row r="89" spans="1:3" x14ac:dyDescent="0.25">
      <c r="A89" t="s">
        <v>112</v>
      </c>
      <c r="B89">
        <v>0.67031355376587765</v>
      </c>
      <c r="C89" t="s">
        <v>5</v>
      </c>
    </row>
    <row r="90" spans="1:3" x14ac:dyDescent="0.25">
      <c r="A90" t="s">
        <v>113</v>
      </c>
      <c r="B90">
        <v>5.5223448866800202E-2</v>
      </c>
      <c r="C90" t="s">
        <v>5</v>
      </c>
    </row>
    <row r="91" spans="1:3" x14ac:dyDescent="0.25">
      <c r="A91" t="s">
        <v>114</v>
      </c>
      <c r="B91">
        <v>1.7240836495612529E-6</v>
      </c>
      <c r="C91" t="s">
        <v>5</v>
      </c>
    </row>
    <row r="92" spans="1:3" x14ac:dyDescent="0.25">
      <c r="A92" t="s">
        <v>115</v>
      </c>
      <c r="B92">
        <v>1.310723987774028</v>
      </c>
      <c r="C92" t="s">
        <v>5</v>
      </c>
    </row>
    <row r="93" spans="1:3" x14ac:dyDescent="0.25">
      <c r="A93" t="s">
        <v>116</v>
      </c>
      <c r="B93">
        <v>0.1174456015503173</v>
      </c>
      <c r="C93" t="s">
        <v>5</v>
      </c>
    </row>
    <row r="94" spans="1:3" x14ac:dyDescent="0.25">
      <c r="A94" t="s">
        <v>117</v>
      </c>
      <c r="B94">
        <v>1.2559079004922589E-2</v>
      </c>
      <c r="C94" t="s">
        <v>5</v>
      </c>
    </row>
    <row r="95" spans="1:3" x14ac:dyDescent="0.25">
      <c r="A95" t="s">
        <v>118</v>
      </c>
      <c r="B95">
        <v>2.1662673950455948</v>
      </c>
      <c r="C95" t="s">
        <v>5</v>
      </c>
    </row>
    <row r="96" spans="1:3" x14ac:dyDescent="0.25">
      <c r="A96" t="s">
        <v>119</v>
      </c>
      <c r="B96">
        <v>0.67031355376587765</v>
      </c>
      <c r="C96" t="s">
        <v>5</v>
      </c>
    </row>
    <row r="97" spans="1:3" x14ac:dyDescent="0.25">
      <c r="A97" t="s">
        <v>120</v>
      </c>
      <c r="B97">
        <v>1</v>
      </c>
      <c r="C97" t="s">
        <v>5</v>
      </c>
    </row>
    <row r="98" spans="1:3" x14ac:dyDescent="0.25">
      <c r="A98" t="s">
        <v>121</v>
      </c>
      <c r="B98">
        <v>30.943250833158061</v>
      </c>
      <c r="C98" t="s">
        <v>122</v>
      </c>
    </row>
    <row r="99" spans="1:3" x14ac:dyDescent="0.25">
      <c r="A99" t="s">
        <v>123</v>
      </c>
      <c r="B99">
        <v>5.5223448866800202E-2</v>
      </c>
      <c r="C99" t="s">
        <v>5</v>
      </c>
    </row>
    <row r="100" spans="1:3" x14ac:dyDescent="0.25">
      <c r="A100" t="s">
        <v>124</v>
      </c>
      <c r="B100">
        <v>4.6988623620787158E-2</v>
      </c>
      <c r="C100" t="s">
        <v>5</v>
      </c>
    </row>
    <row r="101" spans="1:3" x14ac:dyDescent="0.25">
      <c r="A101" t="s">
        <v>125</v>
      </c>
      <c r="B101">
        <v>2.549244335814687</v>
      </c>
      <c r="C101" t="s">
        <v>122</v>
      </c>
    </row>
    <row r="102" spans="1:3" x14ac:dyDescent="0.25">
      <c r="A102" t="s">
        <v>126</v>
      </c>
      <c r="B102">
        <v>1.7240836495612529E-6</v>
      </c>
      <c r="C102" t="s">
        <v>5</v>
      </c>
    </row>
    <row r="103" spans="1:3" x14ac:dyDescent="0.25">
      <c r="A103" t="s">
        <v>127</v>
      </c>
      <c r="B103">
        <v>1.325917124942102E-2</v>
      </c>
      <c r="C103" t="s">
        <v>5</v>
      </c>
    </row>
    <row r="104" spans="1:3" x14ac:dyDescent="0.25">
      <c r="A104" t="s">
        <v>128</v>
      </c>
      <c r="B104">
        <v>7.9587757887338969E-5</v>
      </c>
      <c r="C104" t="s">
        <v>122</v>
      </c>
    </row>
    <row r="105" spans="1:3" x14ac:dyDescent="0.25">
      <c r="A105" t="s">
        <v>129</v>
      </c>
      <c r="B105">
        <v>1.310723987774028</v>
      </c>
      <c r="C105" t="s">
        <v>5</v>
      </c>
    </row>
    <row r="106" spans="1:3" x14ac:dyDescent="0.25">
      <c r="A106" t="s">
        <v>130</v>
      </c>
      <c r="B106">
        <v>2.1516069338430128</v>
      </c>
      <c r="C106" t="s">
        <v>5</v>
      </c>
    </row>
    <row r="107" spans="1:3" x14ac:dyDescent="0.25">
      <c r="A107" t="s">
        <v>131</v>
      </c>
      <c r="B107">
        <v>60.506103298777667</v>
      </c>
      <c r="C107" t="s">
        <v>122</v>
      </c>
    </row>
    <row r="108" spans="1:3" x14ac:dyDescent="0.25">
      <c r="A108" t="s">
        <v>132</v>
      </c>
      <c r="B108">
        <v>0.1174456015503173</v>
      </c>
      <c r="C108" t="s">
        <v>5</v>
      </c>
    </row>
    <row r="109" spans="1:3" x14ac:dyDescent="0.25">
      <c r="A109" t="s">
        <v>133</v>
      </c>
      <c r="B109">
        <v>7.8309183480030797E-2</v>
      </c>
      <c r="C109" t="s">
        <v>5</v>
      </c>
    </row>
    <row r="110" spans="1:3" x14ac:dyDescent="0.25">
      <c r="A110" t="s">
        <v>134</v>
      </c>
      <c r="B110">
        <v>5.4215653071695424</v>
      </c>
      <c r="C110" t="s">
        <v>122</v>
      </c>
    </row>
    <row r="111" spans="1:3" x14ac:dyDescent="0.25">
      <c r="A111" t="s">
        <v>135</v>
      </c>
      <c r="B111">
        <v>1.2559079004922589E-2</v>
      </c>
      <c r="C111" t="s">
        <v>5</v>
      </c>
    </row>
    <row r="112" spans="1:3" x14ac:dyDescent="0.25">
      <c r="A112" t="s">
        <v>136</v>
      </c>
      <c r="B112">
        <v>0.24707337911315319</v>
      </c>
      <c r="C112" t="s">
        <v>5</v>
      </c>
    </row>
    <row r="113" spans="1:3" x14ac:dyDescent="0.25">
      <c r="A113" t="s">
        <v>137</v>
      </c>
      <c r="B113">
        <v>0.57975663732215499</v>
      </c>
      <c r="C113" t="s">
        <v>122</v>
      </c>
    </row>
    <row r="114" spans="1:3" x14ac:dyDescent="0.25">
      <c r="A114" t="s">
        <v>138</v>
      </c>
      <c r="B114">
        <v>2.1662673950455948</v>
      </c>
      <c r="C114" t="s">
        <v>5</v>
      </c>
    </row>
    <row r="115" spans="1:3" x14ac:dyDescent="0.25">
      <c r="A115" t="s">
        <v>139</v>
      </c>
      <c r="C115" t="s">
        <v>5</v>
      </c>
    </row>
    <row r="116" spans="1:3" x14ac:dyDescent="0.25">
      <c r="A116" t="s">
        <v>140</v>
      </c>
      <c r="B116">
        <v>100</v>
      </c>
      <c r="C116" t="s">
        <v>122</v>
      </c>
    </row>
    <row r="117" spans="1:3" x14ac:dyDescent="0.25">
      <c r="A117" t="s">
        <v>141</v>
      </c>
      <c r="B117">
        <v>1</v>
      </c>
      <c r="C117" t="s">
        <v>5</v>
      </c>
    </row>
    <row r="118" spans="1:3" x14ac:dyDescent="0.25">
      <c r="A118" t="s">
        <v>142</v>
      </c>
      <c r="B118">
        <v>4.6988623620787158E-2</v>
      </c>
      <c r="C118" t="s">
        <v>5</v>
      </c>
    </row>
    <row r="119" spans="1:3" x14ac:dyDescent="0.25">
      <c r="A119" t="s">
        <v>143</v>
      </c>
      <c r="B119">
        <v>1.325917124942102E-2</v>
      </c>
      <c r="C119" t="s">
        <v>5</v>
      </c>
    </row>
    <row r="120" spans="1:3" x14ac:dyDescent="0.25">
      <c r="A120" t="s">
        <v>144</v>
      </c>
      <c r="B120">
        <v>2.1516069338430128</v>
      </c>
      <c r="C120" t="s">
        <v>5</v>
      </c>
    </row>
    <row r="121" spans="1:3" x14ac:dyDescent="0.25">
      <c r="A121" t="s">
        <v>145</v>
      </c>
      <c r="B121">
        <v>7.8309183480030797E-2</v>
      </c>
      <c r="C121" t="s">
        <v>5</v>
      </c>
    </row>
    <row r="122" spans="1:3" x14ac:dyDescent="0.25">
      <c r="A122" t="s">
        <v>146</v>
      </c>
      <c r="B122">
        <v>0.24707337911315319</v>
      </c>
      <c r="C122" t="s">
        <v>5</v>
      </c>
    </row>
    <row r="123" spans="1:3" x14ac:dyDescent="0.25">
      <c r="A123" t="s">
        <v>147</v>
      </c>
      <c r="B123">
        <v>1</v>
      </c>
      <c r="C123" t="s">
        <v>5</v>
      </c>
    </row>
    <row r="124" spans="1:3" x14ac:dyDescent="0.25">
      <c r="A124" t="s">
        <v>148</v>
      </c>
      <c r="B124">
        <v>0.1</v>
      </c>
      <c r="C124" t="s">
        <v>5</v>
      </c>
    </row>
    <row r="125" spans="1:3" x14ac:dyDescent="0.25">
      <c r="A125" t="s">
        <v>149</v>
      </c>
      <c r="B125">
        <v>10</v>
      </c>
      <c r="C125" t="s">
        <v>5</v>
      </c>
    </row>
    <row r="126" spans="1:3" x14ac:dyDescent="0.25">
      <c r="A126" t="s">
        <v>150</v>
      </c>
      <c r="B126">
        <v>0.45</v>
      </c>
      <c r="C126" t="s">
        <v>5</v>
      </c>
    </row>
    <row r="127" spans="1:3" x14ac:dyDescent="0.25">
      <c r="A127" t="s">
        <v>151</v>
      </c>
      <c r="B127">
        <v>2</v>
      </c>
      <c r="C127" t="s">
        <v>5</v>
      </c>
    </row>
    <row r="128" spans="1:3" x14ac:dyDescent="0.25">
      <c r="A128" t="s">
        <v>152</v>
      </c>
      <c r="B128" t="s">
        <v>153</v>
      </c>
      <c r="C128" t="s">
        <v>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tabSelected="1" workbookViewId="0">
      <selection activeCell="B21" sqref="B21"/>
    </sheetView>
  </sheetViews>
  <sheetFormatPr defaultRowHeight="14" x14ac:dyDescent="0.25"/>
  <cols>
    <col min="1" max="1" width="25.08984375" customWidth="1"/>
    <col min="2" max="2" width="9.1796875" customWidth="1"/>
    <col min="5" max="5" width="9.26953125" bestFit="1" customWidth="1"/>
  </cols>
  <sheetData>
    <row r="1" spans="1:3" x14ac:dyDescent="0.25">
      <c r="A1" s="1" t="s">
        <v>154</v>
      </c>
      <c r="B1" s="1" t="s">
        <v>1</v>
      </c>
      <c r="C1" s="1" t="s">
        <v>2</v>
      </c>
    </row>
    <row r="2" spans="1:3" x14ac:dyDescent="0.25">
      <c r="A2" t="s">
        <v>155</v>
      </c>
      <c r="B2">
        <v>0.76156996652581732</v>
      </c>
      <c r="C2" t="s">
        <v>17</v>
      </c>
    </row>
    <row r="3" spans="1:3" x14ac:dyDescent="0.25">
      <c r="A3" t="s">
        <v>156</v>
      </c>
      <c r="B3">
        <v>0.16463967059609719</v>
      </c>
      <c r="C3" t="s">
        <v>17</v>
      </c>
    </row>
    <row r="4" spans="1:3" x14ac:dyDescent="0.25">
      <c r="A4" t="s">
        <v>157</v>
      </c>
      <c r="B4">
        <v>0.12538462842469131</v>
      </c>
      <c r="C4" t="s">
        <v>158</v>
      </c>
    </row>
    <row r="5" spans="1:3" x14ac:dyDescent="0.25">
      <c r="A5" t="s">
        <v>159</v>
      </c>
      <c r="B5">
        <v>4.6256771759106661</v>
      </c>
      <c r="C5" t="s">
        <v>5</v>
      </c>
    </row>
    <row r="6" spans="1:3" x14ac:dyDescent="0.25">
      <c r="A6" t="s">
        <v>19</v>
      </c>
      <c r="B6">
        <v>0.56397162325106132</v>
      </c>
      <c r="C6" t="s">
        <v>17</v>
      </c>
    </row>
    <row r="7" spans="1:3" x14ac:dyDescent="0.25">
      <c r="A7" t="s">
        <v>20</v>
      </c>
      <c r="B7">
        <v>0.46397162325106128</v>
      </c>
      <c r="C7" t="s">
        <v>17</v>
      </c>
    </row>
    <row r="8" spans="1:3" x14ac:dyDescent="0.25">
      <c r="A8" t="s">
        <v>21</v>
      </c>
      <c r="B8">
        <v>0.56397162325106132</v>
      </c>
      <c r="C8" t="s">
        <v>17</v>
      </c>
    </row>
    <row r="9" spans="1:3" x14ac:dyDescent="0.25">
      <c r="A9" t="s">
        <v>658</v>
      </c>
      <c r="B9">
        <v>0.36555216483528957</v>
      </c>
      <c r="C9" t="s">
        <v>17</v>
      </c>
    </row>
    <row r="10" spans="1:3" x14ac:dyDescent="0.25">
      <c r="A10" t="s">
        <v>657</v>
      </c>
      <c r="B10">
        <v>9.1388041208822393E-2</v>
      </c>
      <c r="C10" t="s">
        <v>17</v>
      </c>
    </row>
    <row r="11" spans="1:3" x14ac:dyDescent="0.25">
      <c r="A11" t="s">
        <v>161</v>
      </c>
      <c r="B11">
        <v>3.3407096303941682E-2</v>
      </c>
      <c r="C11" t="s">
        <v>158</v>
      </c>
    </row>
    <row r="12" spans="1:3" x14ac:dyDescent="0.25">
      <c r="A12" t="s">
        <v>162</v>
      </c>
      <c r="B12">
        <v>0.1187676990826549</v>
      </c>
      <c r="C12" t="s">
        <v>17</v>
      </c>
    </row>
    <row r="13" spans="1:3" x14ac:dyDescent="0.25">
      <c r="A13" t="s">
        <v>163</v>
      </c>
      <c r="B13">
        <v>5.9383849541327451E-2</v>
      </c>
      <c r="C13" t="s">
        <v>17</v>
      </c>
    </row>
    <row r="14" spans="1:3" x14ac:dyDescent="0.25">
      <c r="A14" t="s">
        <v>164</v>
      </c>
      <c r="B14">
        <v>7.0528831726940329E-3</v>
      </c>
      <c r="C14" t="s">
        <v>158</v>
      </c>
    </row>
    <row r="15" spans="1:3" x14ac:dyDescent="0.25">
      <c r="A15" t="s">
        <v>655</v>
      </c>
      <c r="B15">
        <v>10</v>
      </c>
      <c r="C15" t="s">
        <v>13</v>
      </c>
    </row>
    <row r="16" spans="1:3" x14ac:dyDescent="0.25">
      <c r="A16" t="s">
        <v>165</v>
      </c>
      <c r="B16">
        <v>0.3</v>
      </c>
      <c r="C16" t="s">
        <v>166</v>
      </c>
    </row>
    <row r="17" spans="1:3" x14ac:dyDescent="0.25">
      <c r="A17" t="s">
        <v>167</v>
      </c>
      <c r="B17">
        <v>0.85</v>
      </c>
      <c r="C17" t="s">
        <v>166</v>
      </c>
    </row>
    <row r="18" spans="1:3" x14ac:dyDescent="0.25">
      <c r="A18" t="s">
        <v>168</v>
      </c>
      <c r="B18">
        <v>0.3</v>
      </c>
      <c r="C18" t="s">
        <v>5</v>
      </c>
    </row>
    <row r="19" spans="1:3" x14ac:dyDescent="0.25">
      <c r="A19" t="s">
        <v>659</v>
      </c>
      <c r="B19">
        <f>0.25*B3</f>
        <v>4.1159917649024297E-2</v>
      </c>
      <c r="C19" t="s">
        <v>656</v>
      </c>
    </row>
    <row r="20" spans="1:3" x14ac:dyDescent="0.25">
      <c r="A20" t="s">
        <v>660</v>
      </c>
      <c r="B20">
        <f>B7-0.7*B10+0.25*B10</f>
        <v>0.42284700470709119</v>
      </c>
      <c r="C20" t="s">
        <v>656</v>
      </c>
    </row>
    <row r="21" spans="1:3" x14ac:dyDescent="0.25">
      <c r="A21" t="s">
        <v>661</v>
      </c>
      <c r="B21">
        <f>B7-0.7*B10+(0.3*B10-0.3*B13)+0.25*B13</f>
        <v>0.42444721429046595</v>
      </c>
      <c r="C21" t="s">
        <v>656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3"/>
  <sheetViews>
    <sheetView workbookViewId="0"/>
  </sheetViews>
  <sheetFormatPr defaultRowHeight="14" x14ac:dyDescent="0.25"/>
  <sheetData>
    <row r="1" spans="1:9" x14ac:dyDescent="0.25">
      <c r="A1" s="1" t="s">
        <v>169</v>
      </c>
      <c r="B1" s="1" t="s">
        <v>170</v>
      </c>
      <c r="C1" s="1" t="s">
        <v>171</v>
      </c>
      <c r="D1" s="1" t="s">
        <v>172</v>
      </c>
      <c r="E1" s="1" t="s">
        <v>173</v>
      </c>
      <c r="F1" s="1" t="s">
        <v>174</v>
      </c>
      <c r="G1" s="1" t="s">
        <v>175</v>
      </c>
      <c r="H1" s="1" t="s">
        <v>176</v>
      </c>
      <c r="I1" s="1" t="s">
        <v>177</v>
      </c>
    </row>
    <row r="2" spans="1:9" x14ac:dyDescent="0.25">
      <c r="A2" t="s">
        <v>178</v>
      </c>
      <c r="B2">
        <v>2.4826156428088889E-2</v>
      </c>
      <c r="C2">
        <v>24.82615642808889</v>
      </c>
      <c r="D2">
        <v>8.2319835298048608E-2</v>
      </c>
      <c r="E2">
        <v>0</v>
      </c>
      <c r="F2">
        <v>4.0061309213268337E-2</v>
      </c>
      <c r="G2">
        <v>1.1638005842976641E-3</v>
      </c>
      <c r="H2">
        <v>5.7896637062482881E-5</v>
      </c>
      <c r="I2">
        <v>1.2215482644215791E-3</v>
      </c>
    </row>
    <row r="3" spans="1:9" x14ac:dyDescent="0.25">
      <c r="A3" t="s">
        <v>179</v>
      </c>
      <c r="B3">
        <v>1.198624513657535E-2</v>
      </c>
      <c r="C3">
        <v>11.98624513657535</v>
      </c>
      <c r="D3">
        <v>6.5459917649024299E-2</v>
      </c>
      <c r="E3">
        <v>0</v>
      </c>
      <c r="F3">
        <v>-7.45E-3</v>
      </c>
      <c r="G3">
        <v>0</v>
      </c>
      <c r="H3">
        <v>0</v>
      </c>
      <c r="I3">
        <v>0</v>
      </c>
    </row>
    <row r="4" spans="1:9" x14ac:dyDescent="0.25">
      <c r="A4" t="s">
        <v>180</v>
      </c>
      <c r="B4">
        <v>8.7055664260307451E-3</v>
      </c>
      <c r="C4">
        <v>8.7055664260307459</v>
      </c>
      <c r="D4">
        <v>0.113736149419482</v>
      </c>
      <c r="E4">
        <v>0</v>
      </c>
      <c r="F4">
        <v>1.58435610015062E-2</v>
      </c>
      <c r="G4">
        <v>1.8541836602306249E-4</v>
      </c>
      <c r="H4">
        <v>1.472501819614589E-4</v>
      </c>
      <c r="I4">
        <v>3.2290049535565969E-4</v>
      </c>
    </row>
    <row r="5" spans="1:9" x14ac:dyDescent="0.25">
      <c r="A5" t="s">
        <v>181</v>
      </c>
      <c r="B5">
        <v>7.4414302554423094E-3</v>
      </c>
      <c r="C5">
        <v>7.4414302554423086</v>
      </c>
      <c r="D5">
        <v>0.18198581162553071</v>
      </c>
      <c r="E5">
        <v>0</v>
      </c>
      <c r="F5">
        <v>0</v>
      </c>
      <c r="G5">
        <v>1.8603575638605769E-8</v>
      </c>
      <c r="H5">
        <v>1.9724688612020701E-4</v>
      </c>
      <c r="I5">
        <v>1.9724688612020701E-4</v>
      </c>
    </row>
    <row r="6" spans="1:9" x14ac:dyDescent="0.25">
      <c r="A6" t="s">
        <v>182</v>
      </c>
      <c r="B6">
        <v>6.0000000000000001E-3</v>
      </c>
      <c r="C6">
        <v>6</v>
      </c>
      <c r="D6">
        <v>9.1159917649024313E-2</v>
      </c>
      <c r="E6">
        <v>0</v>
      </c>
      <c r="F6">
        <v>-8.0000000000000002E-3</v>
      </c>
      <c r="G6">
        <v>0</v>
      </c>
      <c r="H6">
        <v>0</v>
      </c>
      <c r="I6">
        <v>0</v>
      </c>
    </row>
    <row r="7" spans="1:9" x14ac:dyDescent="0.25">
      <c r="A7" t="s">
        <v>183</v>
      </c>
      <c r="B7">
        <v>5.7726765586662418E-3</v>
      </c>
      <c r="C7">
        <v>5.7726765586662419</v>
      </c>
      <c r="D7">
        <v>4.1159917649024297E-2</v>
      </c>
      <c r="E7">
        <v>0</v>
      </c>
      <c r="F7">
        <v>3.9061309213268329E-2</v>
      </c>
      <c r="G7">
        <v>2.7060323890350907E-4</v>
      </c>
      <c r="H7">
        <v>1.8039614245832001E-8</v>
      </c>
      <c r="I7">
        <v>2.7060323890350907E-4</v>
      </c>
    </row>
    <row r="8" spans="1:9" x14ac:dyDescent="0.25">
      <c r="A8" t="s">
        <v>184</v>
      </c>
      <c r="B8">
        <v>5.0000000000000001E-3</v>
      </c>
      <c r="C8">
        <v>5</v>
      </c>
      <c r="D8">
        <v>1.6159917649024299E-2</v>
      </c>
      <c r="E8">
        <v>0</v>
      </c>
      <c r="F8">
        <v>-8.0000000000000002E-3</v>
      </c>
      <c r="G8">
        <v>1.5416666666666669E-7</v>
      </c>
      <c r="H8">
        <v>3.375E-7</v>
      </c>
      <c r="I8">
        <v>4.241666666666667E-7</v>
      </c>
    </row>
    <row r="9" spans="1:9" x14ac:dyDescent="0.25">
      <c r="A9" t="s">
        <v>185</v>
      </c>
      <c r="B9">
        <v>4.0088515564730021E-3</v>
      </c>
      <c r="C9">
        <v>4.0088515564730018</v>
      </c>
      <c r="D9">
        <v>0.44569401500929678</v>
      </c>
      <c r="E9">
        <v>0</v>
      </c>
      <c r="F9">
        <v>-2.5000000000000001E-3</v>
      </c>
      <c r="G9">
        <v>4.4644369977100722E-5</v>
      </c>
      <c r="H9">
        <v>2.79309184731944E-6</v>
      </c>
      <c r="I9">
        <v>4.7431448547085447E-5</v>
      </c>
    </row>
    <row r="10" spans="1:9" x14ac:dyDescent="0.25">
      <c r="A10" t="s">
        <v>186</v>
      </c>
      <c r="B10">
        <v>4.0000000000000001E-3</v>
      </c>
      <c r="C10">
        <v>4</v>
      </c>
      <c r="D10">
        <v>4.1159917649024297E-2</v>
      </c>
      <c r="E10">
        <v>0</v>
      </c>
      <c r="F10">
        <v>-6.4999999999999997E-3</v>
      </c>
      <c r="G10">
        <v>0</v>
      </c>
      <c r="H10">
        <v>0</v>
      </c>
      <c r="I10">
        <v>0</v>
      </c>
    </row>
    <row r="11" spans="1:9" x14ac:dyDescent="0.25">
      <c r="A11" t="s">
        <v>187</v>
      </c>
      <c r="B11">
        <v>4.0000000000000001E-3</v>
      </c>
      <c r="C11">
        <v>4</v>
      </c>
      <c r="D11">
        <v>4.1159917649024297E-2</v>
      </c>
      <c r="E11">
        <v>0</v>
      </c>
      <c r="F11">
        <v>-6.4999999999999997E-3</v>
      </c>
      <c r="G11">
        <v>0</v>
      </c>
      <c r="H11">
        <v>0</v>
      </c>
      <c r="I11">
        <v>0</v>
      </c>
    </row>
    <row r="12" spans="1:9" x14ac:dyDescent="0.25">
      <c r="A12" t="s">
        <v>188</v>
      </c>
      <c r="B12">
        <v>4.0000000000000001E-3</v>
      </c>
      <c r="C12">
        <v>4</v>
      </c>
      <c r="D12">
        <v>4.9391901178829162E-2</v>
      </c>
      <c r="E12">
        <v>0.30000000299834911</v>
      </c>
      <c r="F12">
        <v>5.9898094741229341E-2</v>
      </c>
      <c r="G12">
        <v>0</v>
      </c>
      <c r="H12">
        <v>0</v>
      </c>
      <c r="I12">
        <v>0</v>
      </c>
    </row>
    <row r="13" spans="1:9" x14ac:dyDescent="0.25">
      <c r="A13" t="s">
        <v>189</v>
      </c>
      <c r="B13">
        <v>4.0000000000000001E-3</v>
      </c>
      <c r="C13">
        <v>4</v>
      </c>
      <c r="D13">
        <v>4.9391901178829162E-2</v>
      </c>
      <c r="E13">
        <v>-0.30000000299834911</v>
      </c>
      <c r="F13">
        <v>5.9898094741229341E-2</v>
      </c>
      <c r="G13">
        <v>0</v>
      </c>
      <c r="H13">
        <v>0</v>
      </c>
      <c r="I13">
        <v>0</v>
      </c>
    </row>
    <row r="14" spans="1:9" x14ac:dyDescent="0.25">
      <c r="A14" t="s">
        <v>190</v>
      </c>
      <c r="B14">
        <v>3.8544401873137498E-3</v>
      </c>
      <c r="C14">
        <v>3.8544401873137502</v>
      </c>
      <c r="D14">
        <v>4.4337488571010122E-2</v>
      </c>
      <c r="E14">
        <v>3.743439716312056E-2</v>
      </c>
      <c r="F14">
        <v>9.6006942264145745E-3</v>
      </c>
      <c r="G14">
        <v>2.2575098937126289E-6</v>
      </c>
      <c r="H14">
        <v>1.4818450842448949E-7</v>
      </c>
      <c r="I14">
        <v>2.403124775345576E-6</v>
      </c>
    </row>
    <row r="15" spans="1:9" x14ac:dyDescent="0.25">
      <c r="A15" t="s">
        <v>191</v>
      </c>
      <c r="B15">
        <v>3.8544401873137498E-3</v>
      </c>
      <c r="C15">
        <v>3.8544401873137502</v>
      </c>
      <c r="D15">
        <v>0.11628748857101009</v>
      </c>
      <c r="E15">
        <v>3.743439716312056E-2</v>
      </c>
      <c r="F15">
        <v>9.6006942264145745E-3</v>
      </c>
      <c r="G15">
        <v>2.2575098937126289E-6</v>
      </c>
      <c r="H15">
        <v>1.4818450842448949E-7</v>
      </c>
      <c r="I15">
        <v>2.403124775345576E-6</v>
      </c>
    </row>
    <row r="16" spans="1:9" x14ac:dyDescent="0.25">
      <c r="A16" t="s">
        <v>192</v>
      </c>
      <c r="B16">
        <v>3.8544401873137498E-3</v>
      </c>
      <c r="C16">
        <v>3.8544401873137502</v>
      </c>
      <c r="D16">
        <v>4.4337488571010122E-2</v>
      </c>
      <c r="E16">
        <v>-3.743439716312056E-2</v>
      </c>
      <c r="F16">
        <v>9.6006942264145745E-3</v>
      </c>
      <c r="G16">
        <v>2.2575098937126289E-6</v>
      </c>
      <c r="H16">
        <v>1.4818450842448949E-7</v>
      </c>
      <c r="I16">
        <v>2.403124775345576E-6</v>
      </c>
    </row>
    <row r="17" spans="1:9" x14ac:dyDescent="0.25">
      <c r="A17" t="s">
        <v>193</v>
      </c>
      <c r="B17">
        <v>3.8544401873137498E-3</v>
      </c>
      <c r="C17">
        <v>3.8544401873137502</v>
      </c>
      <c r="D17">
        <v>0.11628748857101009</v>
      </c>
      <c r="E17">
        <v>-3.743439716312056E-2</v>
      </c>
      <c r="F17">
        <v>9.6006942264145745E-3</v>
      </c>
      <c r="G17">
        <v>2.2575098937126289E-6</v>
      </c>
      <c r="H17">
        <v>1.4818450842448949E-7</v>
      </c>
      <c r="I17">
        <v>2.403124775345576E-6</v>
      </c>
    </row>
    <row r="18" spans="1:9" x14ac:dyDescent="0.25">
      <c r="A18" t="s">
        <v>194</v>
      </c>
      <c r="B18">
        <v>1.7952908587257621E-3</v>
      </c>
      <c r="C18">
        <v>1.7952908587257621</v>
      </c>
      <c r="D18">
        <v>0.44087162325106127</v>
      </c>
      <c r="E18">
        <v>0</v>
      </c>
      <c r="F18">
        <v>-5.0000000000000001E-4</v>
      </c>
      <c r="G18">
        <v>0</v>
      </c>
      <c r="H18">
        <v>0</v>
      </c>
      <c r="I18">
        <v>0</v>
      </c>
    </row>
    <row r="19" spans="1:9" x14ac:dyDescent="0.25">
      <c r="A19" t="s">
        <v>195</v>
      </c>
      <c r="B19">
        <v>1.3125000131177769E-3</v>
      </c>
      <c r="C19">
        <v>1.3125000131177771</v>
      </c>
      <c r="D19">
        <v>2.3079958824512151E-2</v>
      </c>
      <c r="E19">
        <v>0</v>
      </c>
      <c r="F19">
        <v>2.0595654606634161E-2</v>
      </c>
      <c r="G19">
        <v>1.5380861684609379E-5</v>
      </c>
      <c r="H19">
        <v>4.399757986484086E-7</v>
      </c>
      <c r="I19">
        <v>1.5820833786382749E-5</v>
      </c>
    </row>
    <row r="20" spans="1:9" x14ac:dyDescent="0.25">
      <c r="A20" t="s">
        <v>196</v>
      </c>
      <c r="B20">
        <v>1.3125000131177769E-3</v>
      </c>
      <c r="C20">
        <v>1.3125000131177771</v>
      </c>
      <c r="D20">
        <v>2.3079958824512151E-2</v>
      </c>
      <c r="E20">
        <v>0</v>
      </c>
      <c r="F20">
        <v>2.6465654606634172E-2</v>
      </c>
      <c r="G20">
        <v>1.5380861684609379E-5</v>
      </c>
      <c r="H20">
        <v>4.399757986484086E-7</v>
      </c>
      <c r="I20">
        <v>1.5820833786382749E-5</v>
      </c>
    </row>
    <row r="21" spans="1:9" x14ac:dyDescent="0.25">
      <c r="A21" t="s">
        <v>197</v>
      </c>
      <c r="B21">
        <v>1E-3</v>
      </c>
      <c r="C21">
        <v>1</v>
      </c>
      <c r="D21">
        <v>0.1999999972024428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198</v>
      </c>
      <c r="B22">
        <v>1E-3</v>
      </c>
      <c r="C22">
        <v>1</v>
      </c>
      <c r="D22">
        <v>5.6159917649024303E-2</v>
      </c>
      <c r="E22">
        <v>0</v>
      </c>
      <c r="F22">
        <v>-8.0000000000000002E-3</v>
      </c>
      <c r="G22">
        <v>0</v>
      </c>
      <c r="H22">
        <v>0</v>
      </c>
      <c r="I22">
        <v>0</v>
      </c>
    </row>
    <row r="23" spans="1:9" x14ac:dyDescent="0.25">
      <c r="A23" t="s">
        <v>199</v>
      </c>
      <c r="B23">
        <v>1E-3</v>
      </c>
      <c r="C23">
        <v>1</v>
      </c>
      <c r="D23">
        <v>0.39105999440488559</v>
      </c>
      <c r="E23">
        <v>0</v>
      </c>
      <c r="F23">
        <v>-5.8700000000000002E-3</v>
      </c>
      <c r="G23">
        <v>0</v>
      </c>
      <c r="H23">
        <v>0</v>
      </c>
      <c r="I23">
        <v>0</v>
      </c>
    </row>
    <row r="24" spans="1:9" x14ac:dyDescent="0.25">
      <c r="A24" t="s">
        <v>200</v>
      </c>
      <c r="B24">
        <v>8.4634598072328392E-4</v>
      </c>
      <c r="C24">
        <v>0.84634598072328393</v>
      </c>
      <c r="D24">
        <v>0.43929317667579793</v>
      </c>
      <c r="E24">
        <v>0</v>
      </c>
      <c r="F24">
        <v>6.3383849541327447E-2</v>
      </c>
      <c r="G24">
        <v>9.9549798043895547E-7</v>
      </c>
      <c r="H24">
        <v>1.2435790261917659E-6</v>
      </c>
      <c r="I24">
        <v>2.4935056472389572E-7</v>
      </c>
    </row>
    <row r="25" spans="1:9" x14ac:dyDescent="0.25">
      <c r="A25" t="s">
        <v>201</v>
      </c>
      <c r="B25">
        <v>7.6288088642659289E-4</v>
      </c>
      <c r="C25">
        <v>0.76288088642659291</v>
      </c>
      <c r="D25">
        <v>0.44577162325106129</v>
      </c>
      <c r="E25">
        <v>1.469135802469136E-2</v>
      </c>
      <c r="F25">
        <v>-3.2499999999999999E-3</v>
      </c>
      <c r="G25">
        <v>6.9567875158168369E-8</v>
      </c>
      <c r="H25">
        <v>1.3652389196675901E-8</v>
      </c>
      <c r="I25">
        <v>8.2934184022434302E-8</v>
      </c>
    </row>
    <row r="26" spans="1:9" x14ac:dyDescent="0.25">
      <c r="A26" t="s">
        <v>202</v>
      </c>
      <c r="B26">
        <v>7.6288088642659289E-4</v>
      </c>
      <c r="C26">
        <v>0.76288088642659291</v>
      </c>
      <c r="D26">
        <v>0.44577162325106129</v>
      </c>
      <c r="E26">
        <v>-1.469135802469136E-2</v>
      </c>
      <c r="F26">
        <v>-3.2499999999999999E-3</v>
      </c>
      <c r="G26">
        <v>6.9567875158168369E-8</v>
      </c>
      <c r="H26">
        <v>1.3652389196675901E-8</v>
      </c>
      <c r="I26">
        <v>8.2934184022434302E-8</v>
      </c>
    </row>
    <row r="27" spans="1:9" x14ac:dyDescent="0.25">
      <c r="A27" t="s">
        <v>203</v>
      </c>
      <c r="B27">
        <v>6.7894736842105251E-4</v>
      </c>
      <c r="C27">
        <v>0.67894736842105252</v>
      </c>
      <c r="D27">
        <v>0.43517162325106129</v>
      </c>
      <c r="E27">
        <v>0</v>
      </c>
      <c r="F27">
        <v>1.355555555555556E-2</v>
      </c>
      <c r="G27">
        <v>2.541128167641326E-8</v>
      </c>
      <c r="H27">
        <v>3.7950590886939563E-8</v>
      </c>
      <c r="I27">
        <v>1.2991940789473681E-8</v>
      </c>
    </row>
    <row r="28" spans="1:9" x14ac:dyDescent="0.25">
      <c r="A28" t="s">
        <v>204</v>
      </c>
      <c r="B28">
        <v>6.3971628846175668E-4</v>
      </c>
      <c r="C28">
        <v>0.63971628846175665</v>
      </c>
      <c r="D28">
        <v>0.42741640676753229</v>
      </c>
      <c r="E28">
        <v>0</v>
      </c>
      <c r="F28">
        <v>-3.9350000000000001E-3</v>
      </c>
      <c r="G28">
        <v>7.1236887862144542E-6</v>
      </c>
      <c r="H28">
        <v>5.3318700042875568E-9</v>
      </c>
      <c r="I28">
        <v>7.1290188543511949E-6</v>
      </c>
    </row>
    <row r="29" spans="1:9" x14ac:dyDescent="0.25">
      <c r="A29" t="s">
        <v>205</v>
      </c>
      <c r="B29">
        <v>6.3971628846175668E-4</v>
      </c>
      <c r="C29">
        <v>0.63971628846175665</v>
      </c>
      <c r="D29">
        <v>0.42741640676753229</v>
      </c>
      <c r="E29">
        <v>0</v>
      </c>
      <c r="F29">
        <v>-1.065E-3</v>
      </c>
      <c r="G29">
        <v>7.1236887862144542E-6</v>
      </c>
      <c r="H29">
        <v>5.3318700042875568E-9</v>
      </c>
      <c r="I29">
        <v>7.1290188543511949E-6</v>
      </c>
    </row>
    <row r="30" spans="1:9" x14ac:dyDescent="0.25">
      <c r="A30" t="s">
        <v>206</v>
      </c>
      <c r="B30">
        <v>5.9599411416964712E-4</v>
      </c>
      <c r="C30">
        <v>0.59599411416964709</v>
      </c>
      <c r="D30">
        <v>4.1159917649024297E-2</v>
      </c>
      <c r="E30">
        <v>0</v>
      </c>
      <c r="F30">
        <v>5.9999999999999993E-3</v>
      </c>
      <c r="G30">
        <v>4.2559589894293723E-8</v>
      </c>
      <c r="H30">
        <v>4.3542359933456798E-9</v>
      </c>
      <c r="I30">
        <v>4.3499717608214547E-8</v>
      </c>
    </row>
    <row r="31" spans="1:9" x14ac:dyDescent="0.25">
      <c r="A31" t="s">
        <v>207</v>
      </c>
      <c r="B31">
        <v>2.0784347339464611E-4</v>
      </c>
      <c r="C31">
        <v>0.20784347339464609</v>
      </c>
      <c r="D31">
        <v>0.42741640676753229</v>
      </c>
      <c r="E31">
        <v>1.565E-3</v>
      </c>
      <c r="F31">
        <v>6.3383849541327447E-2</v>
      </c>
      <c r="G31">
        <v>2.443162487227882E-7</v>
      </c>
      <c r="H31">
        <v>2.4604798495485188E-7</v>
      </c>
      <c r="I31">
        <v>1.7323216578470809E-9</v>
      </c>
    </row>
    <row r="32" spans="1:9" x14ac:dyDescent="0.25">
      <c r="A32" t="s">
        <v>208</v>
      </c>
      <c r="B32">
        <v>2.0784347339464611E-4</v>
      </c>
      <c r="C32">
        <v>0.20784347339464609</v>
      </c>
      <c r="D32">
        <v>0.42741640676753229</v>
      </c>
      <c r="E32">
        <v>-1.565E-3</v>
      </c>
      <c r="F32">
        <v>6.3383849541327447E-2</v>
      </c>
      <c r="G32">
        <v>2.443162487227882E-7</v>
      </c>
      <c r="H32">
        <v>2.4604798495485188E-7</v>
      </c>
      <c r="I32">
        <v>1.7323216578470809E-9</v>
      </c>
    </row>
    <row r="33" spans="1:9" x14ac:dyDescent="0.25">
      <c r="A33" t="s">
        <v>209</v>
      </c>
      <c r="B33">
        <v>-3.9600000395782081E-4</v>
      </c>
      <c r="C33">
        <v>-0.39600000395782081</v>
      </c>
      <c r="D33">
        <v>4.1159917649024297E-2</v>
      </c>
      <c r="E33">
        <v>0</v>
      </c>
      <c r="F33">
        <v>3.9061309213268329E-2</v>
      </c>
      <c r="G33">
        <v>-1.8563028556573832E-5</v>
      </c>
      <c r="H33">
        <v>-1.056000010554189E-9</v>
      </c>
      <c r="I33">
        <v>-1.8563028556573832E-5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9"/>
  <sheetViews>
    <sheetView topLeftCell="A88" workbookViewId="0">
      <selection activeCell="B66" sqref="B66"/>
    </sheetView>
  </sheetViews>
  <sheetFormatPr defaultRowHeight="14" x14ac:dyDescent="0.25"/>
  <cols>
    <col min="1" max="1" width="46.6328125" customWidth="1"/>
  </cols>
  <sheetData>
    <row r="1" spans="1:2" x14ac:dyDescent="0.25">
      <c r="A1" s="1" t="s">
        <v>210</v>
      </c>
      <c r="B1" s="1" t="s">
        <v>1</v>
      </c>
    </row>
    <row r="2" spans="1:2" x14ac:dyDescent="0.25">
      <c r="A2" t="s">
        <v>211</v>
      </c>
      <c r="B2">
        <v>3.6642715401622207E-2</v>
      </c>
    </row>
    <row r="3" spans="1:2" x14ac:dyDescent="0.25">
      <c r="A3" t="s">
        <v>212</v>
      </c>
      <c r="B3">
        <v>0.70615590458660793</v>
      </c>
    </row>
    <row r="4" spans="1:2" x14ac:dyDescent="0.25">
      <c r="A4" t="s">
        <v>213</v>
      </c>
      <c r="B4">
        <v>-2.282843122620439E-8</v>
      </c>
    </row>
    <row r="5" spans="1:2" x14ac:dyDescent="0.25">
      <c r="A5" t="s">
        <v>214</v>
      </c>
      <c r="B5">
        <v>-1.7946609442986981E-3</v>
      </c>
    </row>
    <row r="6" spans="1:2" x14ac:dyDescent="0.25">
      <c r="A6" t="s">
        <v>215</v>
      </c>
      <c r="B6">
        <v>7.1601275849923762E-2</v>
      </c>
    </row>
    <row r="7" spans="1:2" x14ac:dyDescent="0.25">
      <c r="A7" t="s">
        <v>216</v>
      </c>
      <c r="B7">
        <v>-7.7632318046250148E-5</v>
      </c>
    </row>
    <row r="8" spans="1:2" x14ac:dyDescent="0.25">
      <c r="A8" t="s">
        <v>217</v>
      </c>
      <c r="B8">
        <v>0.35532273919989299</v>
      </c>
    </row>
    <row r="9" spans="1:2" x14ac:dyDescent="0.25">
      <c r="A9" t="s">
        <v>218</v>
      </c>
      <c r="B9">
        <v>5.648463391351588</v>
      </c>
    </row>
    <row r="10" spans="1:2" x14ac:dyDescent="0.25">
      <c r="A10" t="s">
        <v>219</v>
      </c>
      <c r="B10">
        <v>-2.191039274239208E-5</v>
      </c>
    </row>
    <row r="11" spans="1:2" x14ac:dyDescent="0.25">
      <c r="A11" t="s">
        <v>220</v>
      </c>
      <c r="B11">
        <v>-1.250308513706111E-2</v>
      </c>
    </row>
    <row r="12" spans="1:2" x14ac:dyDescent="0.25">
      <c r="A12" t="s">
        <v>221</v>
      </c>
      <c r="B12">
        <v>0.93233362775518858</v>
      </c>
    </row>
    <row r="13" spans="1:2" x14ac:dyDescent="0.25">
      <c r="A13" t="s">
        <v>222</v>
      </c>
      <c r="B13">
        <v>-2.424221027252926E-4</v>
      </c>
    </row>
    <row r="14" spans="1:2" x14ac:dyDescent="0.25">
      <c r="A14" t="s">
        <v>223</v>
      </c>
      <c r="B14">
        <v>-6.0043849355593931E-17</v>
      </c>
    </row>
    <row r="15" spans="1:2" x14ac:dyDescent="0.25">
      <c r="A15" t="s">
        <v>224</v>
      </c>
      <c r="B15">
        <v>5.5444013263686612E-12</v>
      </c>
    </row>
    <row r="16" spans="1:2" x14ac:dyDescent="0.25">
      <c r="A16" t="s">
        <v>225</v>
      </c>
      <c r="B16">
        <v>-0.2408579823093662</v>
      </c>
    </row>
    <row r="17" spans="1:2" x14ac:dyDescent="0.25">
      <c r="A17" t="s">
        <v>226</v>
      </c>
      <c r="B17">
        <v>-0.40003159925023818</v>
      </c>
    </row>
    <row r="18" spans="1:2" x14ac:dyDescent="0.25">
      <c r="A18" t="s">
        <v>227</v>
      </c>
      <c r="B18">
        <v>4.5967301760848649E-14</v>
      </c>
    </row>
    <row r="19" spans="1:2" x14ac:dyDescent="0.25">
      <c r="A19" t="s">
        <v>228</v>
      </c>
      <c r="B19">
        <v>0.10240214304463879</v>
      </c>
    </row>
    <row r="20" spans="1:2" x14ac:dyDescent="0.25">
      <c r="A20" t="s">
        <v>229</v>
      </c>
      <c r="B20">
        <v>-1.449605514745473E-16</v>
      </c>
    </row>
    <row r="21" spans="1:2" x14ac:dyDescent="0.25">
      <c r="A21" t="s">
        <v>230</v>
      </c>
      <c r="B21">
        <v>1.029689396391938E-11</v>
      </c>
    </row>
    <row r="22" spans="1:2" x14ac:dyDescent="0.25">
      <c r="A22" t="s">
        <v>231</v>
      </c>
      <c r="B22">
        <v>-0.1986060691007141</v>
      </c>
    </row>
    <row r="23" spans="1:2" x14ac:dyDescent="0.25">
      <c r="A23" t="s">
        <v>232</v>
      </c>
      <c r="B23">
        <v>-0.7794457260989065</v>
      </c>
    </row>
    <row r="24" spans="1:2" x14ac:dyDescent="0.25">
      <c r="A24" t="s">
        <v>233</v>
      </c>
      <c r="B24">
        <v>1.081083517758276E-13</v>
      </c>
    </row>
    <row r="25" spans="1:2" x14ac:dyDescent="0.25">
      <c r="A25" t="s">
        <v>234</v>
      </c>
      <c r="B25">
        <v>1.5913714763323639E-2</v>
      </c>
    </row>
    <row r="26" spans="1:2" x14ac:dyDescent="0.25">
      <c r="A26" t="s">
        <v>235</v>
      </c>
      <c r="B26">
        <v>-1.009957488131532E-6</v>
      </c>
    </row>
    <row r="27" spans="1:2" x14ac:dyDescent="0.25">
      <c r="A27" t="s">
        <v>236</v>
      </c>
      <c r="B27">
        <v>-0.56484639518789748</v>
      </c>
    </row>
    <row r="28" spans="1:2" x14ac:dyDescent="0.25">
      <c r="A28" t="s">
        <v>237</v>
      </c>
      <c r="B28">
        <v>-5.7832124169520329E-6</v>
      </c>
    </row>
    <row r="29" spans="1:2" x14ac:dyDescent="0.25">
      <c r="A29" t="s">
        <v>238</v>
      </c>
      <c r="B29">
        <v>-3.253733018465601E-3</v>
      </c>
    </row>
    <row r="30" spans="1:2" x14ac:dyDescent="0.25">
      <c r="A30" t="s">
        <v>239</v>
      </c>
      <c r="B30">
        <v>-11.474722387417311</v>
      </c>
    </row>
    <row r="31" spans="1:2" x14ac:dyDescent="0.25">
      <c r="A31" t="s">
        <v>240</v>
      </c>
      <c r="B31">
        <v>-1.2671924785283471E-4</v>
      </c>
    </row>
    <row r="32" spans="1:2" x14ac:dyDescent="0.25">
      <c r="A32" t="s">
        <v>241</v>
      </c>
      <c r="B32">
        <v>-1.5253314907017229E-17</v>
      </c>
    </row>
    <row r="33" spans="1:2" x14ac:dyDescent="0.25">
      <c r="A33" t="s">
        <v>242</v>
      </c>
      <c r="B33">
        <v>1.0608616341383131E-12</v>
      </c>
    </row>
    <row r="34" spans="1:2" x14ac:dyDescent="0.25">
      <c r="A34" t="s">
        <v>243</v>
      </c>
      <c r="B34">
        <v>2.574590957155478E-2</v>
      </c>
    </row>
    <row r="35" spans="1:2" x14ac:dyDescent="0.25">
      <c r="A35" t="s">
        <v>244</v>
      </c>
      <c r="B35">
        <v>-8.4930584757334546E-2</v>
      </c>
    </row>
    <row r="36" spans="1:2" x14ac:dyDescent="0.25">
      <c r="A36" t="s">
        <v>245</v>
      </c>
      <c r="B36">
        <v>8.165262820429911E-15</v>
      </c>
    </row>
    <row r="37" spans="1:2" x14ac:dyDescent="0.25">
      <c r="A37" t="s">
        <v>246</v>
      </c>
      <c r="B37">
        <v>-4.8544405945456962E-2</v>
      </c>
    </row>
    <row r="38" spans="1:2" x14ac:dyDescent="0.25">
      <c r="A38" t="s">
        <v>247</v>
      </c>
      <c r="B38">
        <v>0.1188952361523956</v>
      </c>
    </row>
    <row r="39" spans="1:2" x14ac:dyDescent="0.25">
      <c r="A39" t="s">
        <v>248</v>
      </c>
      <c r="B39">
        <v>3.5998293204875402E-2</v>
      </c>
    </row>
    <row r="40" spans="1:2" x14ac:dyDescent="0.25">
      <c r="A40" t="s">
        <v>249</v>
      </c>
      <c r="B40">
        <v>8.2896942947520244E-2</v>
      </c>
    </row>
    <row r="41" spans="1:2" x14ac:dyDescent="0.25">
      <c r="A41" t="s">
        <v>250</v>
      </c>
      <c r="B41">
        <v>-4.2062782734785233E-2</v>
      </c>
    </row>
    <row r="42" spans="1:2" x14ac:dyDescent="0.25">
      <c r="A42" t="s">
        <v>251</v>
      </c>
      <c r="B42">
        <v>4.2062782734785233E-2</v>
      </c>
    </row>
    <row r="43" spans="1:2" x14ac:dyDescent="0.25">
      <c r="A43" t="s">
        <v>252</v>
      </c>
      <c r="B43">
        <v>-0.1188952361523956</v>
      </c>
    </row>
    <row r="44" spans="1:2" x14ac:dyDescent="0.25">
      <c r="A44" t="s">
        <v>253</v>
      </c>
      <c r="B44">
        <v>1.152921679642144</v>
      </c>
    </row>
    <row r="45" spans="1:2" x14ac:dyDescent="0.25">
      <c r="A45" t="s">
        <v>254</v>
      </c>
      <c r="B45">
        <v>-3.5820896067059098E-16</v>
      </c>
    </row>
    <row r="46" spans="1:2" x14ac:dyDescent="0.25">
      <c r="A46" t="s">
        <v>255</v>
      </c>
      <c r="B46">
        <v>3.5820896067059098E-16</v>
      </c>
    </row>
    <row r="47" spans="1:2" x14ac:dyDescent="0.25">
      <c r="A47" t="s">
        <v>256</v>
      </c>
      <c r="B47">
        <v>-3.5992137393034749E-16</v>
      </c>
    </row>
    <row r="48" spans="1:2" x14ac:dyDescent="0.25">
      <c r="A48" t="s">
        <v>257</v>
      </c>
      <c r="B48">
        <v>-1.948252898396324E-16</v>
      </c>
    </row>
    <row r="49" spans="1:2" x14ac:dyDescent="0.25">
      <c r="A49" t="s">
        <v>258</v>
      </c>
      <c r="B49" t="s">
        <v>259</v>
      </c>
    </row>
    <row r="50" spans="1:2" x14ac:dyDescent="0.25">
      <c r="A50" t="s">
        <v>260</v>
      </c>
      <c r="B50">
        <v>-3.5820896067059098E-16</v>
      </c>
    </row>
    <row r="51" spans="1:2" x14ac:dyDescent="0.25">
      <c r="A51" t="s">
        <v>261</v>
      </c>
      <c r="B51">
        <v>-5.3952849453538232E-7</v>
      </c>
    </row>
    <row r="52" spans="1:2" x14ac:dyDescent="0.25">
      <c r="A52" t="s">
        <v>262</v>
      </c>
      <c r="B52">
        <v>-3.7692144683812443E-17</v>
      </c>
    </row>
    <row r="53" spans="1:2" x14ac:dyDescent="0.25">
      <c r="A53" t="s">
        <v>263</v>
      </c>
      <c r="B53" t="s">
        <v>264</v>
      </c>
    </row>
    <row r="54" spans="1:2" x14ac:dyDescent="0.25">
      <c r="A54" t="s">
        <v>265</v>
      </c>
      <c r="B54">
        <v>0.13020011811289969</v>
      </c>
    </row>
    <row r="55" spans="1:2" x14ac:dyDescent="0.25">
      <c r="A55" t="s">
        <v>266</v>
      </c>
      <c r="B55">
        <v>0.19514225978621841</v>
      </c>
    </row>
    <row r="56" spans="1:2" x14ac:dyDescent="0.25">
      <c r="A56" t="s">
        <v>267</v>
      </c>
      <c r="B56">
        <v>3.6642715401622207E-2</v>
      </c>
    </row>
    <row r="57" spans="1:2" x14ac:dyDescent="0.25">
      <c r="A57" t="s">
        <v>268</v>
      </c>
      <c r="B57">
        <v>0.70615590458660793</v>
      </c>
    </row>
    <row r="58" spans="1:2" x14ac:dyDescent="0.25">
      <c r="A58" t="s">
        <v>269</v>
      </c>
      <c r="B58">
        <v>-2.282843122620439E-8</v>
      </c>
    </row>
    <row r="59" spans="1:2" x14ac:dyDescent="0.25">
      <c r="A59" t="s">
        <v>270</v>
      </c>
      <c r="B59">
        <v>-1.7946609442986981E-3</v>
      </c>
    </row>
    <row r="60" spans="1:2" x14ac:dyDescent="0.25">
      <c r="A60" t="s">
        <v>271</v>
      </c>
      <c r="B60">
        <v>7.1601275849923762E-2</v>
      </c>
    </row>
    <row r="61" spans="1:2" x14ac:dyDescent="0.25">
      <c r="A61" t="s">
        <v>272</v>
      </c>
      <c r="B61">
        <v>-7.7632318046250148E-5</v>
      </c>
    </row>
    <row r="62" spans="1:2" x14ac:dyDescent="0.25">
      <c r="A62" t="s">
        <v>60</v>
      </c>
      <c r="B62">
        <v>0.35532273919989299</v>
      </c>
    </row>
    <row r="63" spans="1:2" x14ac:dyDescent="0.25">
      <c r="A63" t="s">
        <v>273</v>
      </c>
      <c r="B63">
        <v>5.648463391351588</v>
      </c>
    </row>
    <row r="64" spans="1:2" x14ac:dyDescent="0.25">
      <c r="A64" t="s">
        <v>274</v>
      </c>
      <c r="B64">
        <v>-2.191039274239208E-5</v>
      </c>
    </row>
    <row r="65" spans="1:2" x14ac:dyDescent="0.25">
      <c r="A65" t="s">
        <v>275</v>
      </c>
      <c r="B65">
        <v>-1.250308513706111E-2</v>
      </c>
    </row>
    <row r="66" spans="1:2" x14ac:dyDescent="0.25">
      <c r="A66" t="s">
        <v>276</v>
      </c>
      <c r="B66">
        <v>0.93233362775518858</v>
      </c>
    </row>
    <row r="67" spans="1:2" x14ac:dyDescent="0.25">
      <c r="A67" t="s">
        <v>277</v>
      </c>
      <c r="B67">
        <v>-2.424221027252926E-4</v>
      </c>
    </row>
    <row r="68" spans="1:2" x14ac:dyDescent="0.25">
      <c r="A68" t="s">
        <v>278</v>
      </c>
      <c r="B68">
        <v>-6.0043849355593931E-17</v>
      </c>
    </row>
    <row r="69" spans="1:2" x14ac:dyDescent="0.25">
      <c r="A69" t="s">
        <v>279</v>
      </c>
      <c r="B69">
        <v>5.5444013263686612E-12</v>
      </c>
    </row>
    <row r="70" spans="1:2" x14ac:dyDescent="0.25">
      <c r="A70" t="s">
        <v>280</v>
      </c>
      <c r="B70">
        <v>-0.2408579823093662</v>
      </c>
    </row>
    <row r="71" spans="1:2" x14ac:dyDescent="0.25">
      <c r="A71" t="s">
        <v>281</v>
      </c>
      <c r="B71">
        <v>-0.40003159925023818</v>
      </c>
    </row>
    <row r="72" spans="1:2" x14ac:dyDescent="0.25">
      <c r="A72" t="s">
        <v>282</v>
      </c>
      <c r="B72">
        <v>4.5967301760848649E-14</v>
      </c>
    </row>
    <row r="73" spans="1:2" x14ac:dyDescent="0.25">
      <c r="A73" t="s">
        <v>283</v>
      </c>
      <c r="B73">
        <v>0.10240214304463879</v>
      </c>
    </row>
    <row r="74" spans="1:2" x14ac:dyDescent="0.25">
      <c r="A74" t="s">
        <v>284</v>
      </c>
      <c r="B74">
        <v>-1.449605514745473E-16</v>
      </c>
    </row>
    <row r="75" spans="1:2" x14ac:dyDescent="0.25">
      <c r="A75" t="s">
        <v>285</v>
      </c>
      <c r="B75">
        <v>1.029689396391938E-11</v>
      </c>
    </row>
    <row r="76" spans="1:2" x14ac:dyDescent="0.25">
      <c r="A76" t="s">
        <v>286</v>
      </c>
      <c r="B76">
        <v>-0.1986060691007141</v>
      </c>
    </row>
    <row r="77" spans="1:2" x14ac:dyDescent="0.25">
      <c r="A77" t="s">
        <v>287</v>
      </c>
      <c r="B77">
        <v>-0.7794457260989065</v>
      </c>
    </row>
    <row r="78" spans="1:2" x14ac:dyDescent="0.25">
      <c r="A78" t="s">
        <v>288</v>
      </c>
      <c r="B78">
        <v>1.081083517758276E-13</v>
      </c>
    </row>
    <row r="79" spans="1:2" x14ac:dyDescent="0.25">
      <c r="A79" t="s">
        <v>289</v>
      </c>
      <c r="B79">
        <v>1.5913714763323639E-2</v>
      </c>
    </row>
    <row r="80" spans="1:2" x14ac:dyDescent="0.25">
      <c r="A80" t="s">
        <v>290</v>
      </c>
      <c r="B80">
        <v>-1.009957488131532E-6</v>
      </c>
    </row>
    <row r="81" spans="1:2" x14ac:dyDescent="0.25">
      <c r="A81" t="s">
        <v>291</v>
      </c>
      <c r="B81">
        <v>-0.56484639518789748</v>
      </c>
    </row>
    <row r="82" spans="1:2" x14ac:dyDescent="0.25">
      <c r="A82" t="s">
        <v>292</v>
      </c>
      <c r="B82">
        <v>-5.7832124169520329E-6</v>
      </c>
    </row>
    <row r="83" spans="1:2" x14ac:dyDescent="0.25">
      <c r="A83" t="s">
        <v>293</v>
      </c>
      <c r="B83">
        <v>-3.253733018465601E-3</v>
      </c>
    </row>
    <row r="84" spans="1:2" x14ac:dyDescent="0.25">
      <c r="A84" t="s">
        <v>294</v>
      </c>
      <c r="B84">
        <v>-11.474722387417311</v>
      </c>
    </row>
    <row r="85" spans="1:2" x14ac:dyDescent="0.25">
      <c r="A85" t="s">
        <v>295</v>
      </c>
      <c r="B85">
        <v>-1.2671924785283471E-4</v>
      </c>
    </row>
    <row r="86" spans="1:2" x14ac:dyDescent="0.25">
      <c r="A86" t="s">
        <v>296</v>
      </c>
      <c r="B86">
        <v>-1.5253314907017229E-17</v>
      </c>
    </row>
    <row r="87" spans="1:2" x14ac:dyDescent="0.25">
      <c r="A87" t="s">
        <v>297</v>
      </c>
      <c r="B87">
        <v>1.0608616341383131E-12</v>
      </c>
    </row>
    <row r="88" spans="1:2" x14ac:dyDescent="0.25">
      <c r="A88" t="s">
        <v>298</v>
      </c>
      <c r="B88">
        <v>2.574590957155478E-2</v>
      </c>
    </row>
    <row r="89" spans="1:2" x14ac:dyDescent="0.25">
      <c r="A89" t="s">
        <v>299</v>
      </c>
      <c r="B89">
        <v>-8.4930584757334546E-2</v>
      </c>
    </row>
    <row r="90" spans="1:2" x14ac:dyDescent="0.25">
      <c r="A90" t="s">
        <v>300</v>
      </c>
      <c r="B90">
        <v>8.165262820429911E-15</v>
      </c>
    </row>
    <row r="91" spans="1:2" x14ac:dyDescent="0.25">
      <c r="A91" t="s">
        <v>301</v>
      </c>
      <c r="B91">
        <v>-4.8544405945456962E-2</v>
      </c>
    </row>
    <row r="92" spans="1:2" x14ac:dyDescent="0.25">
      <c r="A92" t="s">
        <v>302</v>
      </c>
      <c r="B92">
        <v>0.1188952361523956</v>
      </c>
    </row>
    <row r="93" spans="1:2" x14ac:dyDescent="0.25">
      <c r="A93" t="s">
        <v>303</v>
      </c>
      <c r="B93">
        <v>3.5998293204875402E-2</v>
      </c>
    </row>
    <row r="94" spans="1:2" x14ac:dyDescent="0.25">
      <c r="A94" t="s">
        <v>304</v>
      </c>
      <c r="B94">
        <v>8.2896942947520244E-2</v>
      </c>
    </row>
    <row r="95" spans="1:2" x14ac:dyDescent="0.25">
      <c r="A95" t="s">
        <v>305</v>
      </c>
      <c r="B95">
        <v>-4.2062782734785233E-2</v>
      </c>
    </row>
    <row r="96" spans="1:2" x14ac:dyDescent="0.25">
      <c r="A96" t="s">
        <v>306</v>
      </c>
      <c r="B96">
        <v>4.2062782734785233E-2</v>
      </c>
    </row>
    <row r="97" spans="1:2" x14ac:dyDescent="0.25">
      <c r="A97" t="s">
        <v>307</v>
      </c>
      <c r="B97">
        <v>-0.1188952361523956</v>
      </c>
    </row>
    <row r="98" spans="1:2" x14ac:dyDescent="0.25">
      <c r="A98" t="s">
        <v>308</v>
      </c>
      <c r="B98">
        <v>1.152921679642144</v>
      </c>
    </row>
    <row r="99" spans="1:2" x14ac:dyDescent="0.25">
      <c r="A99" t="s">
        <v>309</v>
      </c>
      <c r="B99">
        <v>-3.5820896067059098E-16</v>
      </c>
    </row>
    <row r="100" spans="1:2" x14ac:dyDescent="0.25">
      <c r="A100" t="s">
        <v>310</v>
      </c>
      <c r="B100">
        <v>3.5820896067059098E-16</v>
      </c>
    </row>
    <row r="101" spans="1:2" x14ac:dyDescent="0.25">
      <c r="A101" t="s">
        <v>311</v>
      </c>
      <c r="B101">
        <v>-3.5992137393034749E-16</v>
      </c>
    </row>
    <row r="102" spans="1:2" x14ac:dyDescent="0.25">
      <c r="A102" t="s">
        <v>312</v>
      </c>
      <c r="B102">
        <v>-1.948252898396324E-16</v>
      </c>
    </row>
    <row r="103" spans="1:2" x14ac:dyDescent="0.25">
      <c r="A103" t="s">
        <v>313</v>
      </c>
      <c r="B103" t="s">
        <v>259</v>
      </c>
    </row>
    <row r="104" spans="1:2" x14ac:dyDescent="0.25">
      <c r="A104" t="s">
        <v>314</v>
      </c>
      <c r="B104">
        <v>-3.5820896067059098E-16</v>
      </c>
    </row>
    <row r="105" spans="1:2" x14ac:dyDescent="0.25">
      <c r="A105" t="s">
        <v>315</v>
      </c>
      <c r="B105">
        <v>-5.3952849453538232E-7</v>
      </c>
    </row>
    <row r="106" spans="1:2" x14ac:dyDescent="0.25">
      <c r="A106" t="s">
        <v>316</v>
      </c>
      <c r="B106">
        <v>-3.7692144683812443E-17</v>
      </c>
    </row>
    <row r="107" spans="1:2" x14ac:dyDescent="0.25">
      <c r="A107" t="s">
        <v>317</v>
      </c>
      <c r="B107" t="s">
        <v>264</v>
      </c>
    </row>
    <row r="108" spans="1:2" x14ac:dyDescent="0.25">
      <c r="A108" t="s">
        <v>318</v>
      </c>
      <c r="B108">
        <v>0.13020011811289969</v>
      </c>
    </row>
    <row r="109" spans="1:2" x14ac:dyDescent="0.25">
      <c r="A109" t="s">
        <v>319</v>
      </c>
      <c r="B109">
        <v>0.19514225978621841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1"/>
  <sheetViews>
    <sheetView workbookViewId="0">
      <selection activeCell="A13" sqref="A13:XFD13"/>
    </sheetView>
  </sheetViews>
  <sheetFormatPr defaultRowHeight="14" x14ac:dyDescent="0.25"/>
  <sheetData>
    <row r="1" spans="1:14" x14ac:dyDescent="0.25">
      <c r="A1" s="1" t="s">
        <v>320</v>
      </c>
      <c r="B1" s="1" t="s">
        <v>1</v>
      </c>
      <c r="C1" s="1" t="s">
        <v>321</v>
      </c>
      <c r="D1" s="1" t="s">
        <v>322</v>
      </c>
      <c r="E1" s="1" t="s">
        <v>323</v>
      </c>
      <c r="F1" s="1" t="s">
        <v>324</v>
      </c>
      <c r="G1" s="1" t="s">
        <v>325</v>
      </c>
      <c r="H1" s="1" t="s">
        <v>326</v>
      </c>
      <c r="I1" s="1" t="s">
        <v>327</v>
      </c>
      <c r="J1" s="1" t="s">
        <v>328</v>
      </c>
      <c r="K1" s="1" t="s">
        <v>329</v>
      </c>
      <c r="L1" s="1" t="s">
        <v>330</v>
      </c>
      <c r="M1" s="1" t="s">
        <v>331</v>
      </c>
      <c r="N1" s="1" t="s">
        <v>332</v>
      </c>
    </row>
    <row r="2" spans="1:14" x14ac:dyDescent="0.25">
      <c r="A2" t="s">
        <v>333</v>
      </c>
      <c r="B2">
        <v>1.152921679642144</v>
      </c>
      <c r="C2">
        <v>1.1529216896313821</v>
      </c>
      <c r="E2">
        <v>9.9999999999999995E-7</v>
      </c>
      <c r="F2" t="b">
        <v>1</v>
      </c>
      <c r="G2" t="s">
        <v>334</v>
      </c>
      <c r="H2">
        <v>-9.9892372151799691E-9</v>
      </c>
      <c r="L2">
        <v>-9.9892372151799691E-9</v>
      </c>
      <c r="M2">
        <v>-8.6642807616654188E-9</v>
      </c>
      <c r="N2" t="b">
        <v>1</v>
      </c>
    </row>
    <row r="3" spans="1:14" x14ac:dyDescent="0.25">
      <c r="A3" t="s">
        <v>335</v>
      </c>
      <c r="B3">
        <v>0.1188952361523956</v>
      </c>
      <c r="C3">
        <v>1E-3</v>
      </c>
      <c r="E3">
        <v>9.9999999999999995E-7</v>
      </c>
      <c r="F3" t="b">
        <v>1</v>
      </c>
      <c r="G3" t="s">
        <v>334</v>
      </c>
      <c r="H3">
        <v>0.1178952361523956</v>
      </c>
      <c r="L3">
        <v>0.1178952361523956</v>
      </c>
      <c r="M3">
        <v>0.1178952361523956</v>
      </c>
      <c r="N3" t="b">
        <v>0</v>
      </c>
    </row>
    <row r="4" spans="1:14" x14ac:dyDescent="0.25">
      <c r="A4" t="s">
        <v>336</v>
      </c>
      <c r="B4">
        <v>-1.009957488131532E-6</v>
      </c>
      <c r="C4">
        <v>-9.9999999999999995E-7</v>
      </c>
      <c r="D4">
        <v>9.9999999999999995E-7</v>
      </c>
      <c r="E4">
        <v>9.9999999999999995E-7</v>
      </c>
      <c r="F4" t="b">
        <v>1</v>
      </c>
      <c r="G4" t="s">
        <v>334</v>
      </c>
      <c r="H4">
        <v>-9.9574881315319987E-9</v>
      </c>
      <c r="I4">
        <v>2.0099574881315321E-6</v>
      </c>
      <c r="L4">
        <v>-9.9574881315319987E-9</v>
      </c>
      <c r="M4">
        <v>-9.9574881315319987E-9</v>
      </c>
      <c r="N4" t="b">
        <v>1</v>
      </c>
    </row>
    <row r="5" spans="1:14" x14ac:dyDescent="0.25">
      <c r="A5" t="s">
        <v>337</v>
      </c>
      <c r="B5">
        <v>-1.449605514745473E-16</v>
      </c>
      <c r="C5">
        <v>0</v>
      </c>
      <c r="D5">
        <v>0</v>
      </c>
      <c r="E5">
        <v>1E-3</v>
      </c>
      <c r="F5" t="b">
        <v>1</v>
      </c>
      <c r="G5" t="s">
        <v>338</v>
      </c>
      <c r="H5">
        <v>-1.449605514745473E-16</v>
      </c>
      <c r="I5">
        <v>1.449605514745473E-16</v>
      </c>
      <c r="J5">
        <v>-1.449605514745473E-16</v>
      </c>
      <c r="K5">
        <v>1.449605514745473E-16</v>
      </c>
      <c r="L5">
        <v>9.9999999999985495E-4</v>
      </c>
      <c r="M5">
        <v>9.9999999999985495E-4</v>
      </c>
      <c r="N5" t="b">
        <v>1</v>
      </c>
    </row>
    <row r="6" spans="1:14" x14ac:dyDescent="0.25">
      <c r="A6" t="s">
        <v>339</v>
      </c>
      <c r="B6">
        <v>-1.5253314907017229E-17</v>
      </c>
      <c r="C6">
        <v>0</v>
      </c>
      <c r="D6">
        <v>0</v>
      </c>
      <c r="E6">
        <v>1E-3</v>
      </c>
      <c r="F6" t="b">
        <v>1</v>
      </c>
      <c r="G6" t="s">
        <v>338</v>
      </c>
      <c r="H6">
        <v>-1.5253314907017229E-17</v>
      </c>
      <c r="I6">
        <v>1.5253314907017229E-17</v>
      </c>
      <c r="J6">
        <v>-1.5253314907017229E-17</v>
      </c>
      <c r="K6">
        <v>1.5253314907017229E-17</v>
      </c>
      <c r="L6">
        <v>9.9999999999998484E-4</v>
      </c>
      <c r="M6">
        <v>9.9999999999998484E-4</v>
      </c>
      <c r="N6" t="b">
        <v>1</v>
      </c>
    </row>
    <row r="7" spans="1:14" x14ac:dyDescent="0.25">
      <c r="A7" t="s">
        <v>340</v>
      </c>
      <c r="B7">
        <v>0.35532273919989299</v>
      </c>
      <c r="D7">
        <v>1.2</v>
      </c>
      <c r="E7">
        <v>9.9999999999999995E-7</v>
      </c>
      <c r="F7" t="b">
        <v>1</v>
      </c>
      <c r="G7" t="s">
        <v>334</v>
      </c>
      <c r="I7">
        <v>0.84467726080010697</v>
      </c>
      <c r="L7">
        <v>0.84467726080010697</v>
      </c>
      <c r="M7">
        <v>0.70389771733342255</v>
      </c>
      <c r="N7" t="b">
        <v>0</v>
      </c>
    </row>
    <row r="8" spans="1:14" x14ac:dyDescent="0.25">
      <c r="A8" t="s">
        <v>341</v>
      </c>
      <c r="B8">
        <v>9.6969543688392257</v>
      </c>
      <c r="C8">
        <v>6</v>
      </c>
      <c r="E8">
        <v>9.9999999999999995E-7</v>
      </c>
      <c r="F8" t="b">
        <v>1</v>
      </c>
      <c r="G8" t="s">
        <v>334</v>
      </c>
      <c r="H8">
        <v>3.6969543688392261</v>
      </c>
      <c r="L8">
        <v>3.6969543688392261</v>
      </c>
      <c r="M8">
        <v>0.38124902193200377</v>
      </c>
      <c r="N8" t="b">
        <v>0</v>
      </c>
    </row>
    <row r="9" spans="1:14" x14ac:dyDescent="0.25">
      <c r="A9" t="s">
        <v>342</v>
      </c>
      <c r="B9">
        <v>9.1950800039563934</v>
      </c>
      <c r="C9">
        <v>2</v>
      </c>
      <c r="E9">
        <v>9.9999999999999995E-7</v>
      </c>
      <c r="F9" t="b">
        <v>1</v>
      </c>
      <c r="G9" t="s">
        <v>334</v>
      </c>
      <c r="H9">
        <v>7.1950800039563934</v>
      </c>
      <c r="L9">
        <v>7.1950800039563934</v>
      </c>
      <c r="M9">
        <v>0.78249237645137892</v>
      </c>
      <c r="N9" t="b">
        <v>0</v>
      </c>
    </row>
    <row r="10" spans="1:14" x14ac:dyDescent="0.25">
      <c r="A10" t="s">
        <v>343</v>
      </c>
      <c r="B10">
        <v>9.1950800039563934</v>
      </c>
      <c r="D10">
        <v>20</v>
      </c>
      <c r="E10">
        <v>9.9999999999999995E-7</v>
      </c>
      <c r="F10" t="b">
        <v>1</v>
      </c>
      <c r="G10" t="s">
        <v>334</v>
      </c>
      <c r="I10">
        <v>10.80491999604361</v>
      </c>
      <c r="L10">
        <v>10.80491999604361</v>
      </c>
      <c r="M10">
        <v>0.54024599980218035</v>
      </c>
      <c r="N10" t="b">
        <v>0</v>
      </c>
    </row>
    <row r="11" spans="1:14" x14ac:dyDescent="0.25">
      <c r="A11" t="s">
        <v>344</v>
      </c>
      <c r="B11">
        <v>73262.374121864079</v>
      </c>
      <c r="C11">
        <v>20000</v>
      </c>
      <c r="E11">
        <v>9.9999999999999995E-7</v>
      </c>
      <c r="F11" t="b">
        <v>1</v>
      </c>
      <c r="G11" t="s">
        <v>334</v>
      </c>
      <c r="H11">
        <v>53262.374121864079</v>
      </c>
      <c r="L11">
        <v>53262.374121864079</v>
      </c>
      <c r="M11">
        <v>0.72700857377714578</v>
      </c>
      <c r="N11" t="b">
        <v>0</v>
      </c>
    </row>
    <row r="12" spans="1:14" x14ac:dyDescent="0.25">
      <c r="A12" t="s">
        <v>345</v>
      </c>
      <c r="B12">
        <v>0.10000000992353759</v>
      </c>
      <c r="C12">
        <v>0.05</v>
      </c>
      <c r="E12">
        <v>9.9999999999999995E-7</v>
      </c>
      <c r="F12" t="b">
        <v>1</v>
      </c>
      <c r="G12" t="s">
        <v>334</v>
      </c>
      <c r="H12">
        <v>5.000000992353755E-2</v>
      </c>
      <c r="L12">
        <v>5.000000992353755E-2</v>
      </c>
      <c r="M12">
        <v>5.000000992353755E-2</v>
      </c>
      <c r="N12" t="b">
        <v>0</v>
      </c>
    </row>
    <row r="13" spans="1:14" x14ac:dyDescent="0.25">
      <c r="A13" t="s">
        <v>346</v>
      </c>
      <c r="B13">
        <v>0.10000000992353759</v>
      </c>
      <c r="D13">
        <v>0.1</v>
      </c>
      <c r="E13">
        <v>9.9999999999999995E-7</v>
      </c>
      <c r="F13" t="b">
        <v>1</v>
      </c>
      <c r="G13" t="s">
        <v>334</v>
      </c>
      <c r="I13">
        <v>-9.9235375472517262E-9</v>
      </c>
      <c r="L13">
        <v>-9.9235375472517262E-9</v>
      </c>
      <c r="M13">
        <v>-9.9235375472517262E-9</v>
      </c>
      <c r="N13" t="b">
        <v>1</v>
      </c>
    </row>
    <row r="14" spans="1:14" x14ac:dyDescent="0.25">
      <c r="A14" t="s">
        <v>347</v>
      </c>
      <c r="B14">
        <v>0.64732134603071834</v>
      </c>
      <c r="C14">
        <v>0.5</v>
      </c>
      <c r="E14">
        <v>9.9999999999999995E-7</v>
      </c>
      <c r="F14" t="b">
        <v>1</v>
      </c>
      <c r="G14" t="s">
        <v>334</v>
      </c>
      <c r="H14">
        <v>0.14732134603071831</v>
      </c>
      <c r="L14">
        <v>0.14732134603071831</v>
      </c>
      <c r="M14">
        <v>0.14732134603071831</v>
      </c>
      <c r="N14" t="b">
        <v>0</v>
      </c>
    </row>
    <row r="15" spans="1:14" x14ac:dyDescent="0.25">
      <c r="A15" t="s">
        <v>348</v>
      </c>
      <c r="B15">
        <v>0.64732134603071834</v>
      </c>
      <c r="D15">
        <v>1</v>
      </c>
      <c r="E15">
        <v>9.9999999999999995E-7</v>
      </c>
      <c r="F15" t="b">
        <v>1</v>
      </c>
      <c r="G15" t="s">
        <v>334</v>
      </c>
      <c r="I15">
        <v>0.35267865396928172</v>
      </c>
      <c r="L15">
        <v>0.35267865396928172</v>
      </c>
      <c r="M15">
        <v>0.35267865396928172</v>
      </c>
      <c r="N15" t="b">
        <v>0</v>
      </c>
    </row>
    <row r="16" spans="1:14" x14ac:dyDescent="0.25">
      <c r="A16" t="s">
        <v>349</v>
      </c>
      <c r="B16">
        <v>2.999999002391656E-2</v>
      </c>
      <c r="C16">
        <v>0.03</v>
      </c>
      <c r="E16">
        <v>9.9999999999999995E-7</v>
      </c>
      <c r="F16" t="b">
        <v>1</v>
      </c>
      <c r="G16" t="s">
        <v>334</v>
      </c>
      <c r="H16">
        <v>-9.9760834385009822E-9</v>
      </c>
      <c r="L16">
        <v>-9.9760834385009822E-9</v>
      </c>
      <c r="M16">
        <v>-9.9760834385009822E-9</v>
      </c>
      <c r="N16" t="b">
        <v>1</v>
      </c>
    </row>
    <row r="17" spans="1:14" x14ac:dyDescent="0.25">
      <c r="A17" t="s">
        <v>350</v>
      </c>
      <c r="B17">
        <v>2.999999002391656E-2</v>
      </c>
      <c r="D17">
        <v>0.08</v>
      </c>
      <c r="E17">
        <v>9.9999999999999995E-7</v>
      </c>
      <c r="F17" t="b">
        <v>1</v>
      </c>
      <c r="G17" t="s">
        <v>334</v>
      </c>
      <c r="I17">
        <v>5.0000009976083441E-2</v>
      </c>
      <c r="L17">
        <v>5.0000009976083441E-2</v>
      </c>
      <c r="M17">
        <v>5.0000009976083441E-2</v>
      </c>
      <c r="N17" t="b">
        <v>0</v>
      </c>
    </row>
    <row r="18" spans="1:14" x14ac:dyDescent="0.25">
      <c r="A18" t="s">
        <v>351</v>
      </c>
      <c r="B18">
        <v>-0.1986060691007141</v>
      </c>
      <c r="D18">
        <v>0</v>
      </c>
      <c r="E18">
        <v>9.9999999999999995E-7</v>
      </c>
      <c r="F18" t="b">
        <v>1</v>
      </c>
      <c r="G18" t="s">
        <v>334</v>
      </c>
      <c r="I18">
        <v>0.1986060691007141</v>
      </c>
      <c r="L18">
        <v>0.1986060691007141</v>
      </c>
      <c r="M18">
        <v>0.1986060691007141</v>
      </c>
      <c r="N18" t="b">
        <v>0</v>
      </c>
    </row>
    <row r="19" spans="1:14" x14ac:dyDescent="0.25">
      <c r="A19" t="s">
        <v>352</v>
      </c>
      <c r="B19">
        <v>2.574590957155478E-2</v>
      </c>
      <c r="C19">
        <v>0</v>
      </c>
      <c r="E19">
        <v>9.9999999999999995E-7</v>
      </c>
      <c r="F19" t="b">
        <v>1</v>
      </c>
      <c r="G19" t="s">
        <v>334</v>
      </c>
      <c r="H19">
        <v>2.574590957155478E-2</v>
      </c>
      <c r="L19">
        <v>2.574590957155478E-2</v>
      </c>
      <c r="M19">
        <v>2.574590957155478E-2</v>
      </c>
      <c r="N19" t="b">
        <v>0</v>
      </c>
    </row>
    <row r="20" spans="1:14" x14ac:dyDescent="0.25">
      <c r="A20" t="s">
        <v>353</v>
      </c>
      <c r="B20">
        <v>-0.7794457260989065</v>
      </c>
      <c r="D20">
        <v>-1E-4</v>
      </c>
      <c r="E20">
        <v>9.9999999999999995E-7</v>
      </c>
      <c r="F20" t="b">
        <v>1</v>
      </c>
      <c r="G20" t="s">
        <v>334</v>
      </c>
      <c r="I20">
        <v>0.77934572609890651</v>
      </c>
      <c r="L20">
        <v>0.77934572609890651</v>
      </c>
      <c r="M20">
        <v>0.77934572609890651</v>
      </c>
      <c r="N20" t="b">
        <v>0</v>
      </c>
    </row>
    <row r="21" spans="1:14" x14ac:dyDescent="0.25">
      <c r="A21" t="s">
        <v>354</v>
      </c>
      <c r="B21">
        <v>5.2397110819878439</v>
      </c>
      <c r="E21">
        <v>9.9999999999999995E-7</v>
      </c>
      <c r="F21" t="b">
        <v>1</v>
      </c>
      <c r="G21" t="s">
        <v>334</v>
      </c>
      <c r="N21" t="b">
        <v>0</v>
      </c>
    </row>
    <row r="22" spans="1:14" x14ac:dyDescent="0.25">
      <c r="A22" t="s">
        <v>355</v>
      </c>
      <c r="B22">
        <v>229.06724327935751</v>
      </c>
      <c r="E22">
        <v>9.9999999999999995E-7</v>
      </c>
      <c r="F22" t="b">
        <v>1</v>
      </c>
      <c r="G22" t="s">
        <v>334</v>
      </c>
      <c r="N22" t="b">
        <v>0</v>
      </c>
    </row>
    <row r="23" spans="1:14" x14ac:dyDescent="0.25">
      <c r="A23" t="s">
        <v>356</v>
      </c>
      <c r="B23">
        <v>2.2874117691274561E-2</v>
      </c>
      <c r="E23">
        <v>9.9999999999999995E-7</v>
      </c>
      <c r="F23" t="b">
        <v>1</v>
      </c>
      <c r="G23" t="s">
        <v>334</v>
      </c>
      <c r="N23" t="b">
        <v>0</v>
      </c>
    </row>
    <row r="24" spans="1:14" x14ac:dyDescent="0.25">
      <c r="A24" t="s">
        <v>357</v>
      </c>
      <c r="B24">
        <v>3.461428953049963E-5</v>
      </c>
      <c r="D24">
        <v>7.1999999999999998E-3</v>
      </c>
      <c r="E24">
        <v>9.9999999999999995E-7</v>
      </c>
      <c r="F24" t="b">
        <v>1</v>
      </c>
      <c r="G24" t="s">
        <v>334</v>
      </c>
      <c r="I24">
        <v>7.1653857104694999E-3</v>
      </c>
      <c r="L24">
        <v>7.1653857104694999E-3</v>
      </c>
      <c r="M24">
        <v>7.1653857104694999E-3</v>
      </c>
      <c r="N24" t="b">
        <v>0</v>
      </c>
    </row>
    <row r="25" spans="1:14" x14ac:dyDescent="0.25">
      <c r="A25" t="s">
        <v>358</v>
      </c>
      <c r="B25">
        <v>1.8615385756603531E-5</v>
      </c>
      <c r="D25">
        <v>7.1999999999999998E-3</v>
      </c>
      <c r="E25">
        <v>9.9999999999999995E-7</v>
      </c>
      <c r="F25" t="b">
        <v>1</v>
      </c>
      <c r="G25" t="s">
        <v>334</v>
      </c>
      <c r="I25">
        <v>7.1813846142433956E-3</v>
      </c>
      <c r="L25">
        <v>7.1813846142433956E-3</v>
      </c>
      <c r="M25">
        <v>7.1813846142433956E-3</v>
      </c>
      <c r="N25" t="b">
        <v>0</v>
      </c>
    </row>
    <row r="26" spans="1:14" x14ac:dyDescent="0.25">
      <c r="A26" t="s">
        <v>359</v>
      </c>
      <c r="B26">
        <v>3.4759423022032989E-6</v>
      </c>
      <c r="D26">
        <v>7.1999999999999998E-3</v>
      </c>
      <c r="E26">
        <v>9.9999999999999995E-7</v>
      </c>
      <c r="F26" t="b">
        <v>1</v>
      </c>
      <c r="G26" t="s">
        <v>334</v>
      </c>
      <c r="I26">
        <v>7.1965240576977963E-3</v>
      </c>
      <c r="L26">
        <v>7.1965240576977963E-3</v>
      </c>
      <c r="M26">
        <v>7.1965240576977963E-3</v>
      </c>
      <c r="N26" t="b">
        <v>0</v>
      </c>
    </row>
    <row r="27" spans="1:14" x14ac:dyDescent="0.25">
      <c r="A27" t="s">
        <v>360</v>
      </c>
      <c r="B27">
        <v>3.8080354659860869</v>
      </c>
      <c r="E27">
        <v>9.9999999999999995E-7</v>
      </c>
      <c r="F27" t="b">
        <v>1</v>
      </c>
      <c r="G27" t="s">
        <v>334</v>
      </c>
      <c r="N27" t="b">
        <v>0</v>
      </c>
    </row>
    <row r="28" spans="1:14" x14ac:dyDescent="0.25">
      <c r="A28" t="s">
        <v>361</v>
      </c>
      <c r="B28">
        <v>0.35532273919989299</v>
      </c>
      <c r="E28">
        <v>9.9999999999999995E-7</v>
      </c>
      <c r="F28" t="b">
        <v>1</v>
      </c>
      <c r="G28" t="s">
        <v>334</v>
      </c>
      <c r="N28" t="b">
        <v>0</v>
      </c>
    </row>
    <row r="29" spans="1:14" x14ac:dyDescent="0.25">
      <c r="A29" t="s">
        <v>362</v>
      </c>
      <c r="B29">
        <v>-1.252227383789952</v>
      </c>
      <c r="E29">
        <v>9.9999999999999995E-7</v>
      </c>
      <c r="F29" t="b">
        <v>1</v>
      </c>
      <c r="G29" t="s">
        <v>334</v>
      </c>
      <c r="N29" t="b">
        <v>0</v>
      </c>
    </row>
    <row r="30" spans="1:14" x14ac:dyDescent="0.25">
      <c r="A30" t="s">
        <v>363</v>
      </c>
      <c r="B30">
        <v>2.7041046735015661</v>
      </c>
      <c r="E30">
        <v>9.9999999999999995E-7</v>
      </c>
      <c r="F30" t="b">
        <v>1</v>
      </c>
      <c r="G30" t="s">
        <v>334</v>
      </c>
      <c r="N30" t="b">
        <v>0</v>
      </c>
    </row>
    <row r="31" spans="1:14" x14ac:dyDescent="0.25">
      <c r="A31" t="s">
        <v>364</v>
      </c>
      <c r="B31">
        <v>-1.009957488131532E-6</v>
      </c>
      <c r="E31">
        <v>9.9999999999999995E-7</v>
      </c>
      <c r="F31" t="b">
        <v>1</v>
      </c>
      <c r="G31" t="s">
        <v>334</v>
      </c>
      <c r="N31" t="b">
        <v>0</v>
      </c>
    </row>
    <row r="32" spans="1:14" x14ac:dyDescent="0.25">
      <c r="A32" t="s">
        <v>365</v>
      </c>
      <c r="B32">
        <v>-0.7794457260989065</v>
      </c>
      <c r="E32">
        <v>9.9999999999999995E-7</v>
      </c>
      <c r="F32" t="b">
        <v>1</v>
      </c>
      <c r="G32" t="s">
        <v>334</v>
      </c>
      <c r="N32" t="b">
        <v>0</v>
      </c>
    </row>
    <row r="33" spans="1:14" x14ac:dyDescent="0.25">
      <c r="A33" t="s">
        <v>366</v>
      </c>
      <c r="B33">
        <v>25.57077861162896</v>
      </c>
      <c r="E33">
        <v>9.9999999999999995E-7</v>
      </c>
      <c r="F33" t="b">
        <v>1</v>
      </c>
      <c r="G33" t="s">
        <v>334</v>
      </c>
      <c r="N33" t="b">
        <v>0</v>
      </c>
    </row>
    <row r="34" spans="1:14" x14ac:dyDescent="0.25">
      <c r="A34" t="s">
        <v>367</v>
      </c>
      <c r="B34">
        <v>-24.403255810358889</v>
      </c>
      <c r="E34">
        <v>9.9999999999999995E-7</v>
      </c>
      <c r="F34" t="b">
        <v>1</v>
      </c>
      <c r="G34" t="s">
        <v>334</v>
      </c>
      <c r="N34" t="b">
        <v>0</v>
      </c>
    </row>
    <row r="35" spans="1:14" x14ac:dyDescent="0.25">
      <c r="A35" t="s">
        <v>368</v>
      </c>
      <c r="B35">
        <v>25.596744189641111</v>
      </c>
      <c r="E35">
        <v>9.9999999999999995E-7</v>
      </c>
      <c r="F35" t="b">
        <v>1</v>
      </c>
      <c r="G35" t="s">
        <v>334</v>
      </c>
      <c r="N35" t="b">
        <v>0</v>
      </c>
    </row>
    <row r="36" spans="1:14" x14ac:dyDescent="0.25">
      <c r="A36" t="s">
        <v>369</v>
      </c>
      <c r="B36">
        <v>7.8653558859592498E-15</v>
      </c>
      <c r="E36">
        <v>9.9999999999999995E-7</v>
      </c>
      <c r="F36" t="b">
        <v>1</v>
      </c>
      <c r="G36" t="s">
        <v>334</v>
      </c>
      <c r="N36" t="b">
        <v>0</v>
      </c>
    </row>
    <row r="37" spans="1:14" x14ac:dyDescent="0.25">
      <c r="A37" t="s">
        <v>370</v>
      </c>
      <c r="B37">
        <v>0.1140304863710548</v>
      </c>
      <c r="E37">
        <v>9.9999999999999995E-7</v>
      </c>
      <c r="F37" t="b">
        <v>1</v>
      </c>
      <c r="G37" t="s">
        <v>334</v>
      </c>
      <c r="N37" t="b">
        <v>0</v>
      </c>
    </row>
    <row r="38" spans="1:14" x14ac:dyDescent="0.25">
      <c r="A38" t="s">
        <v>371</v>
      </c>
      <c r="B38">
        <v>1.367107440935978E-14</v>
      </c>
      <c r="E38">
        <v>9.9999999999999995E-7</v>
      </c>
      <c r="F38" t="b">
        <v>1</v>
      </c>
      <c r="G38" t="s">
        <v>334</v>
      </c>
      <c r="N38" t="b">
        <v>0</v>
      </c>
    </row>
    <row r="39" spans="1:14" x14ac:dyDescent="0.25">
      <c r="A39" t="s">
        <v>372</v>
      </c>
      <c r="B39">
        <v>2.045221041526817E-3</v>
      </c>
      <c r="E39">
        <v>9.9999999999999995E-7</v>
      </c>
      <c r="F39" t="b">
        <v>1</v>
      </c>
      <c r="G39" t="s">
        <v>334</v>
      </c>
      <c r="N39" t="b">
        <v>0</v>
      </c>
    </row>
    <row r="40" spans="1:14" x14ac:dyDescent="0.25">
      <c r="A40" t="s">
        <v>373</v>
      </c>
      <c r="B40">
        <v>1.462208659341158E-2</v>
      </c>
      <c r="E40">
        <v>9.9999999999999995E-7</v>
      </c>
      <c r="F40" t="b">
        <v>1</v>
      </c>
      <c r="G40" t="s">
        <v>334</v>
      </c>
      <c r="N40" t="b">
        <v>0</v>
      </c>
    </row>
    <row r="41" spans="1:14" x14ac:dyDescent="0.25">
      <c r="A41" t="s">
        <v>374</v>
      </c>
      <c r="B41">
        <v>0.1174456015503173</v>
      </c>
      <c r="E41">
        <v>9.9999999999999995E-7</v>
      </c>
      <c r="F41" t="b">
        <v>1</v>
      </c>
      <c r="G41" t="s">
        <v>334</v>
      </c>
      <c r="N41" t="b">
        <v>0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"/>
  <sheetViews>
    <sheetView workbookViewId="0"/>
  </sheetViews>
  <sheetFormatPr defaultRowHeight="14" x14ac:dyDescent="0.25"/>
  <sheetData>
    <row r="1" spans="1:14" x14ac:dyDescent="0.25">
      <c r="A1" s="1" t="s">
        <v>320</v>
      </c>
      <c r="B1" s="1" t="s">
        <v>1</v>
      </c>
      <c r="C1" s="1" t="s">
        <v>321</v>
      </c>
      <c r="D1" s="1" t="s">
        <v>322</v>
      </c>
      <c r="E1" s="1" t="s">
        <v>323</v>
      </c>
      <c r="F1" s="1" t="s">
        <v>324</v>
      </c>
      <c r="G1" s="1" t="s">
        <v>325</v>
      </c>
      <c r="H1" s="1" t="s">
        <v>326</v>
      </c>
      <c r="I1" s="1" t="s">
        <v>327</v>
      </c>
      <c r="J1" s="1" t="s">
        <v>328</v>
      </c>
      <c r="K1" s="1" t="s">
        <v>329</v>
      </c>
      <c r="L1" s="1" t="s">
        <v>330</v>
      </c>
      <c r="M1" s="1" t="s">
        <v>331</v>
      </c>
      <c r="N1" s="1" t="s">
        <v>332</v>
      </c>
    </row>
    <row r="2" spans="1:14" x14ac:dyDescent="0.25">
      <c r="A2" t="s">
        <v>349</v>
      </c>
      <c r="B2">
        <v>2.999999002391656E-2</v>
      </c>
      <c r="C2">
        <v>0.03</v>
      </c>
      <c r="E2">
        <v>9.9999999999999995E-7</v>
      </c>
      <c r="F2" t="b">
        <v>1</v>
      </c>
      <c r="G2" t="s">
        <v>334</v>
      </c>
      <c r="H2">
        <v>-9.9760834385009822E-9</v>
      </c>
      <c r="L2">
        <v>-9.9760834385009822E-9</v>
      </c>
      <c r="M2">
        <v>-9.9760834385009822E-9</v>
      </c>
      <c r="N2" t="b">
        <v>1</v>
      </c>
    </row>
    <row r="3" spans="1:14" x14ac:dyDescent="0.25">
      <c r="A3" t="s">
        <v>336</v>
      </c>
      <c r="B3">
        <v>-1.009957488131532E-6</v>
      </c>
      <c r="C3">
        <v>-9.9999999999999995E-7</v>
      </c>
      <c r="D3">
        <v>9.9999999999999995E-7</v>
      </c>
      <c r="E3">
        <v>9.9999999999999995E-7</v>
      </c>
      <c r="F3" t="b">
        <v>1</v>
      </c>
      <c r="G3" t="s">
        <v>334</v>
      </c>
      <c r="H3">
        <v>-9.9574881315319987E-9</v>
      </c>
      <c r="I3">
        <v>2.0099574881315321E-6</v>
      </c>
      <c r="L3">
        <v>-9.9574881315319987E-9</v>
      </c>
      <c r="M3">
        <v>-9.9574881315319987E-9</v>
      </c>
      <c r="N3" t="b">
        <v>1</v>
      </c>
    </row>
    <row r="4" spans="1:14" x14ac:dyDescent="0.25">
      <c r="A4" t="s">
        <v>346</v>
      </c>
      <c r="B4">
        <v>0.10000000992353759</v>
      </c>
      <c r="D4">
        <v>0.1</v>
      </c>
      <c r="E4">
        <v>9.9999999999999995E-7</v>
      </c>
      <c r="F4" t="b">
        <v>1</v>
      </c>
      <c r="G4" t="s">
        <v>334</v>
      </c>
      <c r="I4">
        <v>-9.9235375472517262E-9</v>
      </c>
      <c r="L4">
        <v>-9.9235375472517262E-9</v>
      </c>
      <c r="M4">
        <v>-9.9235375472517262E-9</v>
      </c>
      <c r="N4" t="b">
        <v>1</v>
      </c>
    </row>
    <row r="5" spans="1:14" x14ac:dyDescent="0.25">
      <c r="A5" t="s">
        <v>333</v>
      </c>
      <c r="B5">
        <v>1.152921679642144</v>
      </c>
      <c r="C5">
        <v>1.1529216896313821</v>
      </c>
      <c r="E5">
        <v>9.9999999999999995E-7</v>
      </c>
      <c r="F5" t="b">
        <v>1</v>
      </c>
      <c r="G5" t="s">
        <v>334</v>
      </c>
      <c r="H5">
        <v>-9.9892372151799691E-9</v>
      </c>
      <c r="L5">
        <v>-9.9892372151799691E-9</v>
      </c>
      <c r="M5">
        <v>-8.6642807616654188E-9</v>
      </c>
      <c r="N5" t="b">
        <v>1</v>
      </c>
    </row>
    <row r="6" spans="1:14" x14ac:dyDescent="0.25">
      <c r="A6" t="s">
        <v>337</v>
      </c>
      <c r="B6">
        <v>-1.449605514745473E-16</v>
      </c>
      <c r="C6">
        <v>0</v>
      </c>
      <c r="D6">
        <v>0</v>
      </c>
      <c r="E6">
        <v>1E-3</v>
      </c>
      <c r="F6" t="b">
        <v>1</v>
      </c>
      <c r="G6" t="s">
        <v>338</v>
      </c>
      <c r="H6">
        <v>-1.449605514745473E-16</v>
      </c>
      <c r="I6">
        <v>1.449605514745473E-16</v>
      </c>
      <c r="J6">
        <v>-1.449605514745473E-16</v>
      </c>
      <c r="K6">
        <v>1.449605514745473E-16</v>
      </c>
      <c r="L6">
        <v>9.9999999999985495E-4</v>
      </c>
      <c r="M6">
        <v>9.9999999999985495E-4</v>
      </c>
      <c r="N6" t="b">
        <v>1</v>
      </c>
    </row>
    <row r="7" spans="1:14" x14ac:dyDescent="0.25">
      <c r="A7" t="s">
        <v>339</v>
      </c>
      <c r="B7">
        <v>-1.5253314907017229E-17</v>
      </c>
      <c r="C7">
        <v>0</v>
      </c>
      <c r="D7">
        <v>0</v>
      </c>
      <c r="E7">
        <v>1E-3</v>
      </c>
      <c r="F7" t="b">
        <v>1</v>
      </c>
      <c r="G7" t="s">
        <v>338</v>
      </c>
      <c r="H7">
        <v>-1.5253314907017229E-17</v>
      </c>
      <c r="I7">
        <v>1.5253314907017229E-17</v>
      </c>
      <c r="J7">
        <v>-1.5253314907017229E-17</v>
      </c>
      <c r="K7">
        <v>1.5253314907017229E-17</v>
      </c>
      <c r="L7">
        <v>9.9999999999998484E-4</v>
      </c>
      <c r="M7">
        <v>9.9999999999998484E-4</v>
      </c>
      <c r="N7" t="b">
        <v>1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37"/>
  <sheetViews>
    <sheetView workbookViewId="0"/>
  </sheetViews>
  <sheetFormatPr defaultRowHeight="14" x14ac:dyDescent="0.25"/>
  <sheetData>
    <row r="1" spans="1:2" x14ac:dyDescent="0.25">
      <c r="A1" s="1" t="s">
        <v>375</v>
      </c>
      <c r="B1" s="1" t="s">
        <v>1</v>
      </c>
    </row>
    <row r="2" spans="1:2" x14ac:dyDescent="0.25">
      <c r="A2" t="s">
        <v>376</v>
      </c>
      <c r="B2">
        <v>25</v>
      </c>
    </row>
    <row r="3" spans="1:2" x14ac:dyDescent="0.25">
      <c r="A3" t="s">
        <v>377</v>
      </c>
      <c r="B3">
        <v>0</v>
      </c>
    </row>
    <row r="4" spans="1:2" x14ac:dyDescent="0.25">
      <c r="A4" t="s">
        <v>378</v>
      </c>
      <c r="B4">
        <v>1</v>
      </c>
    </row>
    <row r="5" spans="1:2" x14ac:dyDescent="0.25">
      <c r="A5" t="s">
        <v>379</v>
      </c>
      <c r="B5">
        <v>1</v>
      </c>
    </row>
    <row r="6" spans="1:2" x14ac:dyDescent="0.25">
      <c r="A6" t="s">
        <v>380</v>
      </c>
      <c r="B6">
        <v>1</v>
      </c>
    </row>
    <row r="7" spans="1:2" x14ac:dyDescent="0.25">
      <c r="A7" t="s">
        <v>381</v>
      </c>
      <c r="B7">
        <v>1</v>
      </c>
    </row>
    <row r="8" spans="1:2" x14ac:dyDescent="0.25">
      <c r="A8" t="s">
        <v>382</v>
      </c>
      <c r="B8">
        <v>0.86474063979606752</v>
      </c>
    </row>
    <row r="9" spans="1:2" x14ac:dyDescent="0.25">
      <c r="A9" t="s">
        <v>383</v>
      </c>
      <c r="B9">
        <v>0.73917249775238103</v>
      </c>
    </row>
    <row r="10" spans="1:2" x14ac:dyDescent="0.25">
      <c r="A10" t="s">
        <v>384</v>
      </c>
      <c r="B10">
        <v>1</v>
      </c>
    </row>
    <row r="11" spans="1:2" x14ac:dyDescent="0.25">
      <c r="A11" t="s">
        <v>385</v>
      </c>
      <c r="B11">
        <v>0.87456361347890299</v>
      </c>
    </row>
    <row r="12" spans="1:2" x14ac:dyDescent="0.25">
      <c r="A12" t="s">
        <v>386</v>
      </c>
      <c r="B12">
        <v>1</v>
      </c>
    </row>
    <row r="13" spans="1:2" x14ac:dyDescent="0.25">
      <c r="A13" t="s">
        <v>387</v>
      </c>
      <c r="B13">
        <v>1</v>
      </c>
    </row>
    <row r="14" spans="1:2" x14ac:dyDescent="0.25">
      <c r="A14" t="s">
        <v>388</v>
      </c>
      <c r="B14">
        <v>0.38652020831194689</v>
      </c>
    </row>
    <row r="15" spans="1:2" x14ac:dyDescent="0.25">
      <c r="A15" t="s">
        <v>389</v>
      </c>
      <c r="B15">
        <v>1</v>
      </c>
    </row>
    <row r="16" spans="1:2" x14ac:dyDescent="0.25">
      <c r="A16" t="s">
        <v>390</v>
      </c>
      <c r="B16">
        <v>1</v>
      </c>
    </row>
    <row r="17" spans="1:2" x14ac:dyDescent="0.25">
      <c r="A17" t="s">
        <v>391</v>
      </c>
      <c r="B17">
        <v>1</v>
      </c>
    </row>
    <row r="18" spans="1:2" x14ac:dyDescent="0.25">
      <c r="A18" t="s">
        <v>392</v>
      </c>
      <c r="B18">
        <v>1</v>
      </c>
    </row>
    <row r="19" spans="1:2" x14ac:dyDescent="0.25">
      <c r="A19" t="s">
        <v>393</v>
      </c>
      <c r="B19">
        <v>0.9946446422596058</v>
      </c>
    </row>
    <row r="20" spans="1:2" x14ac:dyDescent="0.25">
      <c r="A20" t="s">
        <v>394</v>
      </c>
      <c r="B20">
        <v>1</v>
      </c>
    </row>
    <row r="21" spans="1:2" x14ac:dyDescent="0.25">
      <c r="A21" t="s">
        <v>395</v>
      </c>
      <c r="B21">
        <v>0.90208733793291584</v>
      </c>
    </row>
    <row r="22" spans="1:2" x14ac:dyDescent="0.25">
      <c r="A22" t="s">
        <v>396</v>
      </c>
      <c r="B22">
        <v>0.948906384805002</v>
      </c>
    </row>
    <row r="23" spans="1:2" x14ac:dyDescent="0.25">
      <c r="A23" t="s">
        <v>397</v>
      </c>
      <c r="B23">
        <v>0.46379233862769698</v>
      </c>
    </row>
    <row r="24" spans="1:2" x14ac:dyDescent="0.25">
      <c r="A24" t="s">
        <v>398</v>
      </c>
      <c r="B24">
        <v>0.18154350608052741</v>
      </c>
    </row>
    <row r="25" spans="1:2" x14ac:dyDescent="0.25">
      <c r="A25" t="s">
        <v>399</v>
      </c>
      <c r="B25">
        <v>1</v>
      </c>
    </row>
    <row r="26" spans="1:2" x14ac:dyDescent="0.25">
      <c r="A26" t="s">
        <v>400</v>
      </c>
      <c r="B26">
        <v>0.99921009814483686</v>
      </c>
    </row>
    <row r="27" spans="1:2" x14ac:dyDescent="0.25">
      <c r="A27" t="s">
        <v>401</v>
      </c>
      <c r="B27">
        <v>0.99995946131507929</v>
      </c>
    </row>
    <row r="28" spans="1:2" x14ac:dyDescent="0.25">
      <c r="A28" t="s">
        <v>402</v>
      </c>
      <c r="B28">
        <v>1</v>
      </c>
    </row>
    <row r="29" spans="1:2" x14ac:dyDescent="0.25">
      <c r="A29" t="s">
        <v>403</v>
      </c>
      <c r="B29">
        <v>0</v>
      </c>
    </row>
    <row r="30" spans="1:2" x14ac:dyDescent="0.25">
      <c r="A30" t="s">
        <v>404</v>
      </c>
      <c r="B30">
        <v>0.1619005956094198</v>
      </c>
    </row>
    <row r="31" spans="1:2" x14ac:dyDescent="0.25">
      <c r="A31" t="s">
        <v>405</v>
      </c>
      <c r="B31">
        <v>0.25</v>
      </c>
    </row>
    <row r="32" spans="1:2" x14ac:dyDescent="0.25">
      <c r="A32" t="s">
        <v>406</v>
      </c>
      <c r="B32">
        <v>1</v>
      </c>
    </row>
    <row r="33" spans="1:2" x14ac:dyDescent="0.25">
      <c r="A33" t="s">
        <v>407</v>
      </c>
      <c r="B33">
        <v>0.88784020448482548</v>
      </c>
    </row>
    <row r="34" spans="1:2" x14ac:dyDescent="0.25">
      <c r="A34" t="s">
        <v>408</v>
      </c>
      <c r="B34">
        <v>0.32579907703285982</v>
      </c>
    </row>
    <row r="35" spans="1:2" x14ac:dyDescent="0.25">
      <c r="A35" t="s">
        <v>409</v>
      </c>
      <c r="B35">
        <v>0.41613028762153992</v>
      </c>
    </row>
    <row r="36" spans="1:2" x14ac:dyDescent="0.25">
      <c r="A36" t="s">
        <v>410</v>
      </c>
      <c r="B36">
        <v>1</v>
      </c>
    </row>
    <row r="37" spans="1:2" x14ac:dyDescent="0.25">
      <c r="A37" t="s">
        <v>411</v>
      </c>
      <c r="B37">
        <v>1</v>
      </c>
    </row>
    <row r="38" spans="1:2" x14ac:dyDescent="0.25">
      <c r="A38" t="s">
        <v>412</v>
      </c>
      <c r="B38">
        <v>1</v>
      </c>
    </row>
    <row r="39" spans="1:2" x14ac:dyDescent="0.25">
      <c r="A39" t="s">
        <v>413</v>
      </c>
      <c r="B39">
        <v>0.76561702012764954</v>
      </c>
    </row>
    <row r="40" spans="1:2" x14ac:dyDescent="0.25">
      <c r="A40" t="s">
        <v>414</v>
      </c>
      <c r="B40">
        <v>0.1401002009618226</v>
      </c>
    </row>
    <row r="41" spans="1:2" x14ac:dyDescent="0.25">
      <c r="A41" t="s">
        <v>415</v>
      </c>
      <c r="B41">
        <v>0.91686100089898237</v>
      </c>
    </row>
    <row r="42" spans="1:2" x14ac:dyDescent="0.25">
      <c r="A42" t="s">
        <v>416</v>
      </c>
      <c r="B42">
        <v>1</v>
      </c>
    </row>
    <row r="43" spans="1:2" x14ac:dyDescent="0.25">
      <c r="A43" t="s">
        <v>417</v>
      </c>
      <c r="B43">
        <v>0.99497576916318042</v>
      </c>
    </row>
    <row r="44" spans="1:2" x14ac:dyDescent="0.25">
      <c r="A44" t="s">
        <v>418</v>
      </c>
      <c r="B44">
        <v>1</v>
      </c>
    </row>
    <row r="45" spans="1:2" x14ac:dyDescent="0.25">
      <c r="A45" t="s">
        <v>419</v>
      </c>
      <c r="B45">
        <v>1</v>
      </c>
    </row>
    <row r="46" spans="1:2" x14ac:dyDescent="0.25">
      <c r="A46" t="s">
        <v>420</v>
      </c>
      <c r="B46">
        <v>1</v>
      </c>
    </row>
    <row r="47" spans="1:2" x14ac:dyDescent="0.25">
      <c r="A47" t="s">
        <v>421</v>
      </c>
      <c r="B47">
        <v>0.14642792523039189</v>
      </c>
    </row>
    <row r="48" spans="1:2" x14ac:dyDescent="0.25">
      <c r="A48" t="s">
        <v>422</v>
      </c>
      <c r="B48">
        <v>0.53687697399136425</v>
      </c>
    </row>
    <row r="49" spans="1:2" x14ac:dyDescent="0.25">
      <c r="A49" t="s">
        <v>423</v>
      </c>
      <c r="B49">
        <v>0.67517152574500516</v>
      </c>
    </row>
    <row r="50" spans="1:2" x14ac:dyDescent="0.25">
      <c r="A50" t="s">
        <v>424</v>
      </c>
      <c r="B50">
        <v>0.14486639321675249</v>
      </c>
    </row>
    <row r="51" spans="1:2" x14ac:dyDescent="0.25">
      <c r="A51" t="s">
        <v>425</v>
      </c>
      <c r="B51">
        <v>0.78025334339286667</v>
      </c>
    </row>
    <row r="52" spans="1:2" x14ac:dyDescent="0.25">
      <c r="A52" t="s">
        <v>426</v>
      </c>
      <c r="B52">
        <v>0.73306805775703854</v>
      </c>
    </row>
    <row r="53" spans="1:2" x14ac:dyDescent="0.25">
      <c r="A53" t="s">
        <v>427</v>
      </c>
      <c r="B53">
        <v>0.74173420441284066</v>
      </c>
    </row>
    <row r="54" spans="1:2" x14ac:dyDescent="0.25">
      <c r="A54" t="s">
        <v>428</v>
      </c>
      <c r="B54">
        <v>0.94749321498430195</v>
      </c>
    </row>
    <row r="55" spans="1:2" x14ac:dyDescent="0.25">
      <c r="A55" t="s">
        <v>429</v>
      </c>
      <c r="B55">
        <v>0</v>
      </c>
    </row>
    <row r="56" spans="1:2" x14ac:dyDescent="0.25">
      <c r="A56" t="s">
        <v>430</v>
      </c>
      <c r="B56">
        <v>0.72729922161108951</v>
      </c>
    </row>
    <row r="57" spans="1:2" x14ac:dyDescent="0.25">
      <c r="A57" t="s">
        <v>431</v>
      </c>
      <c r="B57">
        <v>0.27395682656652642</v>
      </c>
    </row>
    <row r="58" spans="1:2" x14ac:dyDescent="0.25">
      <c r="A58" t="s">
        <v>432</v>
      </c>
      <c r="B58">
        <v>0.26331631400307459</v>
      </c>
    </row>
    <row r="59" spans="1:2" x14ac:dyDescent="0.25">
      <c r="A59" t="s">
        <v>433</v>
      </c>
      <c r="B59">
        <v>0.43825020768265749</v>
      </c>
    </row>
    <row r="60" spans="1:2" x14ac:dyDescent="0.25">
      <c r="A60" t="s">
        <v>434</v>
      </c>
      <c r="B60">
        <v>14.44066179802158</v>
      </c>
    </row>
    <row r="61" spans="1:2" x14ac:dyDescent="0.25">
      <c r="A61" t="s">
        <v>435</v>
      </c>
      <c r="B61">
        <v>0.90138981820586939</v>
      </c>
    </row>
    <row r="62" spans="1:2" x14ac:dyDescent="0.25">
      <c r="A62" t="s">
        <v>436</v>
      </c>
      <c r="B62">
        <v>8.0033242558760342</v>
      </c>
    </row>
    <row r="63" spans="1:2" x14ac:dyDescent="0.25">
      <c r="A63" t="s">
        <v>437</v>
      </c>
      <c r="B63">
        <v>7.0316502486194201</v>
      </c>
    </row>
    <row r="64" spans="1:2" x14ac:dyDescent="0.25">
      <c r="A64" t="s">
        <v>438</v>
      </c>
      <c r="B64">
        <v>3.0974512817869422</v>
      </c>
    </row>
    <row r="65" spans="1:2" x14ac:dyDescent="0.25">
      <c r="A65" t="s">
        <v>439</v>
      </c>
      <c r="B65">
        <v>2.647323773261252</v>
      </c>
    </row>
    <row r="66" spans="1:2" x14ac:dyDescent="0.25">
      <c r="A66" t="s">
        <v>440</v>
      </c>
      <c r="B66">
        <v>6.5445608991936073</v>
      </c>
    </row>
    <row r="67" spans="1:2" x14ac:dyDescent="0.25">
      <c r="A67" t="s">
        <v>441</v>
      </c>
      <c r="B67">
        <v>1.241831134209767</v>
      </c>
    </row>
    <row r="68" spans="1:2" x14ac:dyDescent="0.25">
      <c r="A68" t="s">
        <v>442</v>
      </c>
      <c r="B68">
        <v>0.6615890427732305</v>
      </c>
    </row>
    <row r="69" spans="1:2" x14ac:dyDescent="0.25">
      <c r="A69" t="s">
        <v>443</v>
      </c>
      <c r="B69">
        <v>0.15639610201537191</v>
      </c>
    </row>
    <row r="70" spans="1:2" x14ac:dyDescent="0.25">
      <c r="A70" t="s">
        <v>444</v>
      </c>
      <c r="B70">
        <v>2.9893214070905011E-3</v>
      </c>
    </row>
    <row r="71" spans="1:2" x14ac:dyDescent="0.25">
      <c r="A71" t="s">
        <v>445</v>
      </c>
      <c r="B71">
        <v>2.360239725177757E-4</v>
      </c>
    </row>
    <row r="72" spans="1:2" x14ac:dyDescent="0.25">
      <c r="A72" t="s">
        <v>446</v>
      </c>
      <c r="B72">
        <v>5.0883166565100573E-5</v>
      </c>
    </row>
    <row r="73" spans="1:2" x14ac:dyDescent="0.25">
      <c r="A73" t="s">
        <v>447</v>
      </c>
      <c r="B73">
        <v>81.818679050082253</v>
      </c>
    </row>
    <row r="74" spans="1:2" x14ac:dyDescent="0.25">
      <c r="A74" t="s">
        <v>448</v>
      </c>
      <c r="B74">
        <v>61.488136525307141</v>
      </c>
    </row>
    <row r="75" spans="1:2" x14ac:dyDescent="0.25">
      <c r="A75" t="s">
        <v>449</v>
      </c>
      <c r="B75">
        <v>48.392645424104963</v>
      </c>
    </row>
    <row r="76" spans="1:2" x14ac:dyDescent="0.25">
      <c r="A76" t="s">
        <v>450</v>
      </c>
      <c r="B76">
        <v>3.1814397827586229</v>
      </c>
    </row>
    <row r="77" spans="1:2" x14ac:dyDescent="0.25">
      <c r="A77" t="s">
        <v>451</v>
      </c>
      <c r="B77">
        <v>21.752235894525569</v>
      </c>
    </row>
    <row r="78" spans="1:2" x14ac:dyDescent="0.25">
      <c r="A78" t="s">
        <v>452</v>
      </c>
      <c r="B78">
        <v>0.51889766662216374</v>
      </c>
    </row>
    <row r="79" spans="1:2" x14ac:dyDescent="0.25">
      <c r="A79" t="s">
        <v>453</v>
      </c>
      <c r="B79">
        <v>7.1229657555937766</v>
      </c>
    </row>
    <row r="80" spans="1:2" x14ac:dyDescent="0.25">
      <c r="A80" t="s">
        <v>454</v>
      </c>
      <c r="B80">
        <v>5.4138563810845718E-2</v>
      </c>
    </row>
    <row r="81" spans="1:2" x14ac:dyDescent="0.25">
      <c r="A81" t="s">
        <v>455</v>
      </c>
      <c r="B81">
        <v>0.96333321972861941</v>
      </c>
    </row>
    <row r="82" spans="1:2" x14ac:dyDescent="0.25">
      <c r="A82" t="s">
        <v>456</v>
      </c>
      <c r="B82">
        <v>38495.338023949022</v>
      </c>
    </row>
    <row r="83" spans="1:2" x14ac:dyDescent="0.25">
      <c r="A83" t="s">
        <v>457</v>
      </c>
      <c r="B83">
        <v>24707.450154588059</v>
      </c>
    </row>
    <row r="84" spans="1:2" x14ac:dyDescent="0.25">
      <c r="A84" t="s">
        <v>458</v>
      </c>
      <c r="B84">
        <v>2.0209680979897331</v>
      </c>
    </row>
    <row r="85" spans="1:2" x14ac:dyDescent="0.25">
      <c r="A85" t="s">
        <v>459</v>
      </c>
      <c r="B85">
        <v>812.11364999091165</v>
      </c>
    </row>
    <row r="86" spans="1:2" x14ac:dyDescent="0.25">
      <c r="A86" t="s">
        <v>460</v>
      </c>
      <c r="B86">
        <v>66078.318558789935</v>
      </c>
    </row>
    <row r="87" spans="1:2" x14ac:dyDescent="0.25">
      <c r="A87" t="s">
        <v>461</v>
      </c>
      <c r="B87">
        <v>27198.59928900213</v>
      </c>
    </row>
    <row r="88" spans="1:2" x14ac:dyDescent="0.25">
      <c r="A88" t="s">
        <v>462</v>
      </c>
      <c r="B88">
        <v>0.3109831117427504</v>
      </c>
    </row>
    <row r="89" spans="1:2" x14ac:dyDescent="0.25">
      <c r="A89" t="s">
        <v>463</v>
      </c>
      <c r="B89">
        <v>2363.943369544606</v>
      </c>
    </row>
    <row r="90" spans="1:2" x14ac:dyDescent="0.25">
      <c r="A90" t="s">
        <v>464</v>
      </c>
      <c r="B90">
        <v>2.5449613374513009E-3</v>
      </c>
    </row>
    <row r="91" spans="1:2" x14ac:dyDescent="0.25">
      <c r="A91" t="s">
        <v>465</v>
      </c>
      <c r="B91">
        <v>475.95573441940752</v>
      </c>
    </row>
    <row r="92" spans="1:2" x14ac:dyDescent="0.25">
      <c r="A92" t="s">
        <v>466</v>
      </c>
      <c r="B92">
        <v>9.4647099322360972</v>
      </c>
    </row>
    <row r="93" spans="1:2" x14ac:dyDescent="0.25">
      <c r="A93" t="s">
        <v>467</v>
      </c>
      <c r="B93">
        <v>87.827885861302889</v>
      </c>
    </row>
    <row r="94" spans="1:2" x14ac:dyDescent="0.25">
      <c r="A94" t="s">
        <v>468</v>
      </c>
      <c r="B94">
        <v>1.2886715213733521E-4</v>
      </c>
    </row>
    <row r="95" spans="1:2" x14ac:dyDescent="0.25">
      <c r="A95" t="s">
        <v>469</v>
      </c>
      <c r="B95">
        <v>0.2502824035766622</v>
      </c>
    </row>
    <row r="96" spans="1:2" x14ac:dyDescent="0.25">
      <c r="A96" t="s">
        <v>470</v>
      </c>
      <c r="B96">
        <v>8.2079942842483433E-10</v>
      </c>
    </row>
    <row r="97" spans="1:2" x14ac:dyDescent="0.25">
      <c r="A97" t="s">
        <v>471</v>
      </c>
      <c r="B97">
        <v>1.111095312859023E-4</v>
      </c>
    </row>
    <row r="98" spans="1:2" x14ac:dyDescent="0.25">
      <c r="A98" t="s">
        <v>472</v>
      </c>
      <c r="B98">
        <v>4.6515569174232496E-12</v>
      </c>
    </row>
    <row r="99" spans="1:2" x14ac:dyDescent="0.25">
      <c r="A99" t="s">
        <v>473</v>
      </c>
      <c r="B99">
        <v>208.38546413766011</v>
      </c>
    </row>
    <row r="100" spans="1:2" x14ac:dyDescent="0.25">
      <c r="A100" t="s">
        <v>474</v>
      </c>
      <c r="B100">
        <v>213.47419545699421</v>
      </c>
    </row>
    <row r="101" spans="1:2" x14ac:dyDescent="0.25">
      <c r="A101" t="s">
        <v>475</v>
      </c>
      <c r="B101">
        <v>80.158658851462803</v>
      </c>
    </row>
    <row r="102" spans="1:2" x14ac:dyDescent="0.25">
      <c r="A102" t="s">
        <v>476</v>
      </c>
      <c r="B102">
        <v>310.58359887837878</v>
      </c>
    </row>
    <row r="103" spans="1:2" x14ac:dyDescent="0.25">
      <c r="A103" t="s">
        <v>477</v>
      </c>
      <c r="B103">
        <v>345.37459779538898</v>
      </c>
    </row>
    <row r="104" spans="1:2" x14ac:dyDescent="0.25">
      <c r="A104" t="s">
        <v>478</v>
      </c>
      <c r="B104">
        <v>655.22091851763707</v>
      </c>
    </row>
    <row r="105" spans="1:2" x14ac:dyDescent="0.25">
      <c r="A105" t="s">
        <v>479</v>
      </c>
      <c r="B105">
        <v>1106.7282824499341</v>
      </c>
    </row>
    <row r="106" spans="1:2" x14ac:dyDescent="0.25">
      <c r="A106" t="s">
        <v>480</v>
      </c>
      <c r="B106">
        <v>114.9964621143954</v>
      </c>
    </row>
    <row r="107" spans="1:2" x14ac:dyDescent="0.25">
      <c r="A107" t="s">
        <v>481</v>
      </c>
      <c r="B107">
        <v>0.88611845657025867</v>
      </c>
    </row>
    <row r="108" spans="1:2" x14ac:dyDescent="0.25">
      <c r="A108" t="s">
        <v>482</v>
      </c>
      <c r="B108">
        <v>9.649388412203308E-3</v>
      </c>
    </row>
    <row r="109" spans="1:2" x14ac:dyDescent="0.25">
      <c r="A109" t="s">
        <v>483</v>
      </c>
      <c r="B109">
        <v>1.039042229394127E-2</v>
      </c>
    </row>
    <row r="110" spans="1:2" x14ac:dyDescent="0.25">
      <c r="A110" t="s">
        <v>484</v>
      </c>
      <c r="B110">
        <v>4.6703587194480527E-2</v>
      </c>
    </row>
    <row r="111" spans="1:2" x14ac:dyDescent="0.25">
      <c r="A111" t="s">
        <v>485</v>
      </c>
      <c r="B111">
        <v>9.7449738497335403E-2</v>
      </c>
    </row>
    <row r="112" spans="1:2" x14ac:dyDescent="0.25">
      <c r="A112" t="s">
        <v>486</v>
      </c>
      <c r="B112">
        <v>0.16208606144989449</v>
      </c>
    </row>
    <row r="113" spans="1:2" x14ac:dyDescent="0.25">
      <c r="A113" t="s">
        <v>487</v>
      </c>
      <c r="B113">
        <v>0.20016579428919459</v>
      </c>
    </row>
    <row r="114" spans="1:2" x14ac:dyDescent="0.25">
      <c r="A114" t="s">
        <v>488</v>
      </c>
      <c r="B114">
        <v>4.2971822023927693E-2</v>
      </c>
    </row>
    <row r="115" spans="1:2" x14ac:dyDescent="0.25">
      <c r="A115" t="s">
        <v>489</v>
      </c>
      <c r="B115">
        <v>5.0531542403343011E-2</v>
      </c>
    </row>
    <row r="116" spans="1:2" x14ac:dyDescent="0.25">
      <c r="A116" t="s">
        <v>490</v>
      </c>
      <c r="B116">
        <v>1.1256168928113651E-2</v>
      </c>
    </row>
    <row r="117" spans="1:2" x14ac:dyDescent="0.25">
      <c r="A117" t="s">
        <v>491</v>
      </c>
      <c r="B117">
        <v>7.4631930968802607E-3</v>
      </c>
    </row>
    <row r="118" spans="1:2" x14ac:dyDescent="0.25">
      <c r="A118" t="s">
        <v>492</v>
      </c>
      <c r="B118">
        <v>0.81684970034910886</v>
      </c>
    </row>
    <row r="119" spans="1:2" x14ac:dyDescent="0.25">
      <c r="A119" t="s">
        <v>493</v>
      </c>
      <c r="B119">
        <v>1.8566858901269969E-3</v>
      </c>
    </row>
    <row r="120" spans="1:2" x14ac:dyDescent="0.25">
      <c r="A120" t="s">
        <v>494</v>
      </c>
      <c r="B120">
        <v>6.9043623827091949E-4</v>
      </c>
    </row>
    <row r="121" spans="1:2" x14ac:dyDescent="0.25">
      <c r="A121" t="s">
        <v>495</v>
      </c>
      <c r="B121">
        <v>1.5776119960619891E-5</v>
      </c>
    </row>
    <row r="122" spans="1:2" x14ac:dyDescent="0.25">
      <c r="A122" t="s">
        <v>496</v>
      </c>
      <c r="B122">
        <v>1.4239045498243291E-8</v>
      </c>
    </row>
    <row r="123" spans="1:2" x14ac:dyDescent="0.25">
      <c r="A123" t="s">
        <v>497</v>
      </c>
      <c r="B123">
        <v>6.0747851193809765E-11</v>
      </c>
    </row>
    <row r="124" spans="1:2" x14ac:dyDescent="0.25">
      <c r="A124" t="s">
        <v>498</v>
      </c>
      <c r="B124">
        <v>3.7461700408414338E-11</v>
      </c>
    </row>
    <row r="125" spans="1:2" x14ac:dyDescent="0.25">
      <c r="A125" t="s">
        <v>499</v>
      </c>
      <c r="B125">
        <v>0.70056030884530607</v>
      </c>
    </row>
    <row r="126" spans="1:2" x14ac:dyDescent="0.25">
      <c r="A126" t="s">
        <v>500</v>
      </c>
      <c r="B126">
        <v>0.42204810022735728</v>
      </c>
    </row>
    <row r="127" spans="1:2" x14ac:dyDescent="0.25">
      <c r="A127" t="s">
        <v>501</v>
      </c>
      <c r="B127">
        <v>0.32623562957338242</v>
      </c>
    </row>
    <row r="128" spans="1:2" x14ac:dyDescent="0.25">
      <c r="A128" t="s">
        <v>502</v>
      </c>
      <c r="B128">
        <v>0.29431007062317671</v>
      </c>
    </row>
    <row r="129" spans="1:2" x14ac:dyDescent="0.25">
      <c r="A129" t="s">
        <v>503</v>
      </c>
      <c r="B129">
        <v>6.2111171015125421E-2</v>
      </c>
    </row>
    <row r="130" spans="1:2" x14ac:dyDescent="0.25">
      <c r="A130" t="s">
        <v>504</v>
      </c>
      <c r="B130">
        <v>5.9551756691801572E-2</v>
      </c>
    </row>
    <row r="131" spans="1:2" x14ac:dyDescent="0.25">
      <c r="A131" t="s">
        <v>505</v>
      </c>
      <c r="B131">
        <v>1.6524327702663651E-2</v>
      </c>
    </row>
    <row r="132" spans="1:2" x14ac:dyDescent="0.25">
      <c r="A132" t="s">
        <v>506</v>
      </c>
      <c r="B132">
        <v>1.8670007590166899E-3</v>
      </c>
    </row>
    <row r="133" spans="1:2" x14ac:dyDescent="0.25">
      <c r="A133" t="s">
        <v>507</v>
      </c>
      <c r="B133">
        <v>1</v>
      </c>
    </row>
    <row r="134" spans="1:2" x14ac:dyDescent="0.25">
      <c r="A134" t="s">
        <v>508</v>
      </c>
      <c r="B134">
        <v>0.13073140821003959</v>
      </c>
    </row>
    <row r="135" spans="1:2" x14ac:dyDescent="0.25">
      <c r="A135" t="s">
        <v>509</v>
      </c>
      <c r="B135">
        <v>4.2750729001444839E-2</v>
      </c>
    </row>
    <row r="136" spans="1:2" x14ac:dyDescent="0.25">
      <c r="A136" t="s">
        <v>510</v>
      </c>
      <c r="B136">
        <v>1.019127528443889E-2</v>
      </c>
    </row>
    <row r="137" spans="1:2" x14ac:dyDescent="0.25">
      <c r="A137" t="s">
        <v>511</v>
      </c>
      <c r="B137">
        <v>2.3112428931271758E-2</v>
      </c>
    </row>
    <row r="138" spans="1:2" x14ac:dyDescent="0.25">
      <c r="A138" t="s">
        <v>512</v>
      </c>
      <c r="B138">
        <v>0.14793982769138331</v>
      </c>
    </row>
    <row r="139" spans="1:2" x14ac:dyDescent="0.25">
      <c r="A139" t="s">
        <v>513</v>
      </c>
      <c r="B139">
        <v>9.5495420111029752E-2</v>
      </c>
    </row>
    <row r="140" spans="1:2" x14ac:dyDescent="0.25">
      <c r="A140" t="s">
        <v>514</v>
      </c>
      <c r="B140">
        <v>2.865791805345809E-2</v>
      </c>
    </row>
    <row r="141" spans="1:2" x14ac:dyDescent="0.25">
      <c r="A141" t="s">
        <v>515</v>
      </c>
      <c r="B141">
        <v>9.6261890880453994E-3</v>
      </c>
    </row>
    <row r="142" spans="1:2" x14ac:dyDescent="0.25">
      <c r="A142" t="s">
        <v>516</v>
      </c>
      <c r="B142">
        <v>3.0982361624112892E-3</v>
      </c>
    </row>
    <row r="143" spans="1:2" x14ac:dyDescent="0.25">
      <c r="A143" t="s">
        <v>517</v>
      </c>
      <c r="B143">
        <v>1.0472652506331669E-3</v>
      </c>
    </row>
    <row r="144" spans="1:2" x14ac:dyDescent="0.25">
      <c r="A144" t="s">
        <v>518</v>
      </c>
      <c r="B144">
        <v>0.32314287621915799</v>
      </c>
    </row>
    <row r="145" spans="1:2" x14ac:dyDescent="0.25">
      <c r="A145" t="s">
        <v>519</v>
      </c>
      <c r="B145">
        <v>4.6103474462080428E-4</v>
      </c>
    </row>
    <row r="146" spans="1:2" x14ac:dyDescent="0.25">
      <c r="A146" t="s">
        <v>520</v>
      </c>
      <c r="B146">
        <v>5.1867754384928179E-5</v>
      </c>
    </row>
    <row r="147" spans="1:2" x14ac:dyDescent="0.25">
      <c r="A147" t="s">
        <v>521</v>
      </c>
      <c r="B147">
        <v>1.5545372974698261E-6</v>
      </c>
    </row>
    <row r="148" spans="1:2" x14ac:dyDescent="0.25">
      <c r="A148" t="s">
        <v>522</v>
      </c>
      <c r="B148">
        <v>1.224047284573878E-7</v>
      </c>
    </row>
    <row r="149" spans="1:2" x14ac:dyDescent="0.25">
      <c r="A149" t="s">
        <v>523</v>
      </c>
      <c r="B149">
        <v>1.6096462496243201E-8</v>
      </c>
    </row>
    <row r="150" spans="1:2" x14ac:dyDescent="0.25">
      <c r="A150" t="s">
        <v>524</v>
      </c>
      <c r="B150">
        <v>9.9999999999999994E-12</v>
      </c>
    </row>
    <row r="151" spans="1:2" x14ac:dyDescent="0.25">
      <c r="A151" t="s">
        <v>525</v>
      </c>
      <c r="B151">
        <v>1.889234020690886</v>
      </c>
    </row>
    <row r="152" spans="1:2" x14ac:dyDescent="0.25">
      <c r="A152" t="s">
        <v>526</v>
      </c>
      <c r="B152">
        <v>3.2196909736022472</v>
      </c>
    </row>
    <row r="153" spans="1:2" x14ac:dyDescent="0.25">
      <c r="A153" t="s">
        <v>527</v>
      </c>
      <c r="B153">
        <v>2.2213791143772821</v>
      </c>
    </row>
    <row r="154" spans="1:2" x14ac:dyDescent="0.25">
      <c r="A154" t="s">
        <v>528</v>
      </c>
      <c r="B154">
        <v>11.804197753506241</v>
      </c>
    </row>
    <row r="155" spans="1:2" x14ac:dyDescent="0.25">
      <c r="A155" t="s">
        <v>529</v>
      </c>
      <c r="B155">
        <v>1.571961546633907</v>
      </c>
    </row>
    <row r="156" spans="1:2" x14ac:dyDescent="0.25">
      <c r="A156" t="s">
        <v>530</v>
      </c>
      <c r="B156">
        <v>0.98668079456243907</v>
      </c>
    </row>
    <row r="157" spans="1:2" x14ac:dyDescent="0.25">
      <c r="A157" t="s">
        <v>531</v>
      </c>
      <c r="B157">
        <v>0.4240794036675688</v>
      </c>
    </row>
    <row r="158" spans="1:2" x14ac:dyDescent="0.25">
      <c r="A158" t="s">
        <v>532</v>
      </c>
      <c r="B158">
        <v>4.3359541493340252E-2</v>
      </c>
    </row>
    <row r="159" spans="1:2" x14ac:dyDescent="0.25">
      <c r="A159" t="s">
        <v>533</v>
      </c>
      <c r="B159">
        <v>3.53074955862377</v>
      </c>
    </row>
    <row r="160" spans="1:2" x14ac:dyDescent="0.25">
      <c r="A160" t="s">
        <v>534</v>
      </c>
      <c r="B160">
        <v>2.637440975102415</v>
      </c>
    </row>
    <row r="161" spans="1:2" x14ac:dyDescent="0.25">
      <c r="A161" t="s">
        <v>535</v>
      </c>
      <c r="B161">
        <v>2.6131938249850482</v>
      </c>
    </row>
    <row r="162" spans="1:2" x14ac:dyDescent="0.25">
      <c r="A162" t="s">
        <v>536</v>
      </c>
      <c r="B162">
        <v>2.5135033485776548</v>
      </c>
    </row>
    <row r="163" spans="1:2" x14ac:dyDescent="0.25">
      <c r="A163" t="s">
        <v>537</v>
      </c>
      <c r="B163">
        <v>2.311783831322646</v>
      </c>
    </row>
    <row r="164" spans="1:2" x14ac:dyDescent="0.25">
      <c r="A164" t="s">
        <v>538</v>
      </c>
      <c r="B164">
        <v>2.447641798908395</v>
      </c>
    </row>
    <row r="165" spans="1:2" x14ac:dyDescent="0.25">
      <c r="A165" t="s">
        <v>539</v>
      </c>
      <c r="B165">
        <v>2.259497200302917</v>
      </c>
    </row>
    <row r="166" spans="1:2" x14ac:dyDescent="0.25">
      <c r="A166" t="s">
        <v>540</v>
      </c>
      <c r="B166">
        <v>2.2568691565230581</v>
      </c>
    </row>
    <row r="167" spans="1:2" x14ac:dyDescent="0.25">
      <c r="A167" t="s">
        <v>541</v>
      </c>
      <c r="B167">
        <v>2.206202350443796</v>
      </c>
    </row>
    <row r="168" spans="1:2" x14ac:dyDescent="0.25">
      <c r="A168" t="s">
        <v>542</v>
      </c>
      <c r="B168">
        <v>2.1896104075685412</v>
      </c>
    </row>
    <row r="169" spans="1:2" x14ac:dyDescent="0.25">
      <c r="A169" t="s">
        <v>543</v>
      </c>
      <c r="B169">
        <v>2.173954280128013</v>
      </c>
    </row>
    <row r="170" spans="1:2" x14ac:dyDescent="0.25">
      <c r="A170" t="s">
        <v>544</v>
      </c>
      <c r="B170">
        <v>3.6991843242325788</v>
      </c>
    </row>
    <row r="171" spans="1:2" x14ac:dyDescent="0.25">
      <c r="A171" t="s">
        <v>545</v>
      </c>
      <c r="B171">
        <v>2.1685853065066811</v>
      </c>
    </row>
    <row r="172" spans="1:2" x14ac:dyDescent="0.25">
      <c r="A172" t="s">
        <v>546</v>
      </c>
      <c r="B172">
        <v>2.1665673801907328</v>
      </c>
    </row>
    <row r="173" spans="1:2" x14ac:dyDescent="0.25">
      <c r="A173" t="s">
        <v>547</v>
      </c>
      <c r="B173">
        <v>2.1662745440549029</v>
      </c>
    </row>
    <row r="174" spans="1:2" x14ac:dyDescent="0.25">
      <c r="A174" t="s">
        <v>548</v>
      </c>
      <c r="B174">
        <v>2.166268210231566</v>
      </c>
    </row>
    <row r="175" spans="1:2" x14ac:dyDescent="0.25">
      <c r="A175" t="s">
        <v>549</v>
      </c>
      <c r="B175">
        <v>2.166267507886781</v>
      </c>
    </row>
    <row r="176" spans="1:2" x14ac:dyDescent="0.25">
      <c r="A176" t="s">
        <v>550</v>
      </c>
      <c r="B176">
        <v>2.1662673950455948</v>
      </c>
    </row>
    <row r="177" spans="1:2" x14ac:dyDescent="0.25">
      <c r="A177" t="s">
        <v>551</v>
      </c>
      <c r="B177">
        <v>3.266075032891778</v>
      </c>
    </row>
    <row r="178" spans="1:2" x14ac:dyDescent="0.25">
      <c r="A178" t="s">
        <v>552</v>
      </c>
      <c r="B178">
        <v>3.224871879537706</v>
      </c>
    </row>
    <row r="179" spans="1:2" x14ac:dyDescent="0.25">
      <c r="A179" t="s">
        <v>553</v>
      </c>
      <c r="B179">
        <v>2.5600062914784329</v>
      </c>
    </row>
    <row r="180" spans="1:2" x14ac:dyDescent="0.25">
      <c r="A180" t="s">
        <v>554</v>
      </c>
      <c r="B180">
        <v>2.7115661685452421</v>
      </c>
    </row>
    <row r="181" spans="1:2" x14ac:dyDescent="0.25">
      <c r="A181" t="s">
        <v>555</v>
      </c>
      <c r="B181">
        <v>2.6123525062334072</v>
      </c>
    </row>
    <row r="182" spans="1:2" x14ac:dyDescent="0.25">
      <c r="A182" t="s">
        <v>556</v>
      </c>
      <c r="B182">
        <v>2.754337879639674</v>
      </c>
    </row>
    <row r="183" spans="1:2" x14ac:dyDescent="0.25">
      <c r="A183" t="s">
        <v>557</v>
      </c>
      <c r="B183">
        <v>2.6928844975419279</v>
      </c>
    </row>
    <row r="184" spans="1:2" x14ac:dyDescent="0.25">
      <c r="A184" t="s">
        <v>558</v>
      </c>
      <c r="B184">
        <v>2.6738217126259851</v>
      </c>
    </row>
    <row r="185" spans="1:2" x14ac:dyDescent="0.25">
      <c r="A185" t="s">
        <v>559</v>
      </c>
      <c r="B185">
        <v>0</v>
      </c>
    </row>
    <row r="186" spans="1:2" x14ac:dyDescent="0.25">
      <c r="A186" t="s">
        <v>560</v>
      </c>
      <c r="B186">
        <v>3.7037037037037028E-2</v>
      </c>
    </row>
    <row r="187" spans="1:2" x14ac:dyDescent="0.25">
      <c r="A187" t="s">
        <v>561</v>
      </c>
      <c r="B187">
        <v>9.8765432098765427E-2</v>
      </c>
    </row>
    <row r="188" spans="1:2" x14ac:dyDescent="0.25">
      <c r="A188" t="s">
        <v>562</v>
      </c>
      <c r="B188">
        <v>2.1069958847736618</v>
      </c>
    </row>
    <row r="189" spans="1:2" x14ac:dyDescent="0.25">
      <c r="A189" t="s">
        <v>563</v>
      </c>
      <c r="B189">
        <v>0.70233196159122069</v>
      </c>
    </row>
    <row r="190" spans="1:2" x14ac:dyDescent="0.25">
      <c r="A190" t="s">
        <v>564</v>
      </c>
      <c r="B190">
        <v>0</v>
      </c>
    </row>
    <row r="191" spans="1:2" x14ac:dyDescent="0.25">
      <c r="A191" t="s">
        <v>565</v>
      </c>
      <c r="B191">
        <v>0.23411065386374019</v>
      </c>
    </row>
    <row r="192" spans="1:2" x14ac:dyDescent="0.25">
      <c r="A192" t="s">
        <v>566</v>
      </c>
      <c r="B192">
        <v>0</v>
      </c>
    </row>
    <row r="193" spans="1:2" x14ac:dyDescent="0.25">
      <c r="A193" t="s">
        <v>567</v>
      </c>
      <c r="B193">
        <v>0</v>
      </c>
    </row>
    <row r="194" spans="1:2" x14ac:dyDescent="0.25">
      <c r="A194" t="s">
        <v>568</v>
      </c>
      <c r="B194">
        <v>0</v>
      </c>
    </row>
    <row r="195" spans="1:2" x14ac:dyDescent="0.25">
      <c r="A195" t="s">
        <v>569</v>
      </c>
      <c r="B195">
        <v>0</v>
      </c>
    </row>
    <row r="196" spans="1:2" x14ac:dyDescent="0.25">
      <c r="A196" t="s">
        <v>570</v>
      </c>
      <c r="B196">
        <v>0</v>
      </c>
    </row>
    <row r="197" spans="1:2" x14ac:dyDescent="0.25">
      <c r="A197" t="s">
        <v>571</v>
      </c>
      <c r="B197">
        <v>0</v>
      </c>
    </row>
    <row r="198" spans="1:2" x14ac:dyDescent="0.25">
      <c r="A198" t="s">
        <v>572</v>
      </c>
      <c r="B198">
        <v>0</v>
      </c>
    </row>
    <row r="199" spans="1:2" x14ac:dyDescent="0.25">
      <c r="A199" t="s">
        <v>573</v>
      </c>
      <c r="B199">
        <v>0</v>
      </c>
    </row>
    <row r="200" spans="1:2" x14ac:dyDescent="0.25">
      <c r="A200" t="s">
        <v>574</v>
      </c>
      <c r="B200">
        <v>0</v>
      </c>
    </row>
    <row r="201" spans="1:2" x14ac:dyDescent="0.25">
      <c r="A201" t="s">
        <v>575</v>
      </c>
      <c r="B201">
        <v>0</v>
      </c>
    </row>
    <row r="202" spans="1:2" x14ac:dyDescent="0.25">
      <c r="A202" t="s">
        <v>576</v>
      </c>
      <c r="B202">
        <v>0</v>
      </c>
    </row>
    <row r="203" spans="1:2" x14ac:dyDescent="0.25">
      <c r="A203" t="s">
        <v>577</v>
      </c>
      <c r="B203">
        <v>0</v>
      </c>
    </row>
    <row r="204" spans="1:2" x14ac:dyDescent="0.25">
      <c r="A204" t="s">
        <v>578</v>
      </c>
      <c r="B204">
        <v>0</v>
      </c>
    </row>
    <row r="205" spans="1:2" x14ac:dyDescent="0.25">
      <c r="A205" t="s">
        <v>579</v>
      </c>
      <c r="B205">
        <v>0</v>
      </c>
    </row>
    <row r="206" spans="1:2" x14ac:dyDescent="0.25">
      <c r="A206" t="s">
        <v>580</v>
      </c>
      <c r="B206">
        <v>1</v>
      </c>
    </row>
    <row r="207" spans="1:2" x14ac:dyDescent="0.25">
      <c r="A207" t="s">
        <v>581</v>
      </c>
      <c r="B207">
        <v>0</v>
      </c>
    </row>
    <row r="208" spans="1:2" x14ac:dyDescent="0.25">
      <c r="A208" t="s">
        <v>582</v>
      </c>
      <c r="B208">
        <v>0.33333333333333331</v>
      </c>
    </row>
    <row r="209" spans="1:2" x14ac:dyDescent="0.25">
      <c r="A209" t="s">
        <v>583</v>
      </c>
      <c r="B209">
        <v>0</v>
      </c>
    </row>
    <row r="210" spans="1:2" x14ac:dyDescent="0.25">
      <c r="A210" t="s">
        <v>584</v>
      </c>
      <c r="B210">
        <v>0.1111111111111111</v>
      </c>
    </row>
    <row r="211" spans="1:2" x14ac:dyDescent="0.25">
      <c r="A211" t="s">
        <v>585</v>
      </c>
      <c r="B211">
        <v>0</v>
      </c>
    </row>
    <row r="212" spans="1:2" x14ac:dyDescent="0.25">
      <c r="A212" t="s">
        <v>586</v>
      </c>
      <c r="B212">
        <v>37</v>
      </c>
    </row>
    <row r="213" spans="1:2" x14ac:dyDescent="0.25">
      <c r="A213" t="s">
        <v>587</v>
      </c>
      <c r="B213">
        <v>37</v>
      </c>
    </row>
    <row r="214" spans="1:2" x14ac:dyDescent="0.25">
      <c r="A214" t="s">
        <v>588</v>
      </c>
      <c r="B214">
        <v>0</v>
      </c>
    </row>
    <row r="215" spans="1:2" x14ac:dyDescent="0.25">
      <c r="A215" t="s">
        <v>589</v>
      </c>
      <c r="B215">
        <v>27</v>
      </c>
    </row>
    <row r="216" spans="1:2" x14ac:dyDescent="0.25">
      <c r="A216" t="s">
        <v>590</v>
      </c>
      <c r="B216">
        <v>25</v>
      </c>
    </row>
    <row r="217" spans="1:2" x14ac:dyDescent="0.25">
      <c r="A217" t="s">
        <v>591</v>
      </c>
      <c r="B217">
        <v>27</v>
      </c>
    </row>
    <row r="218" spans="1:2" x14ac:dyDescent="0.25">
      <c r="A218" t="s">
        <v>592</v>
      </c>
      <c r="B218">
        <v>1</v>
      </c>
    </row>
    <row r="219" spans="1:2" x14ac:dyDescent="0.25">
      <c r="A219" t="s">
        <v>593</v>
      </c>
      <c r="B219" t="s">
        <v>594</v>
      </c>
    </row>
    <row r="220" spans="1:2" x14ac:dyDescent="0.25">
      <c r="A220" t="s">
        <v>595</v>
      </c>
      <c r="B220" t="b">
        <v>1</v>
      </c>
    </row>
    <row r="221" spans="1:2" x14ac:dyDescent="0.25">
      <c r="A221" t="s">
        <v>596</v>
      </c>
      <c r="B221">
        <v>0</v>
      </c>
    </row>
    <row r="222" spans="1:2" x14ac:dyDescent="0.25">
      <c r="A222" t="s">
        <v>597</v>
      </c>
      <c r="B222">
        <v>1.0610000000000011</v>
      </c>
    </row>
    <row r="223" spans="1:2" x14ac:dyDescent="0.25">
      <c r="A223" t="s">
        <v>598</v>
      </c>
      <c r="B223">
        <v>2.1579999999999999</v>
      </c>
    </row>
    <row r="224" spans="1:2" x14ac:dyDescent="0.25">
      <c r="A224" t="s">
        <v>599</v>
      </c>
      <c r="B224">
        <v>0</v>
      </c>
    </row>
    <row r="225" spans="1:2" x14ac:dyDescent="0.25">
      <c r="A225" t="s">
        <v>600</v>
      </c>
      <c r="B225">
        <v>1.732</v>
      </c>
    </row>
    <row r="226" spans="1:2" x14ac:dyDescent="0.25">
      <c r="A226" t="s">
        <v>601</v>
      </c>
      <c r="B226">
        <v>18.152999999999999</v>
      </c>
    </row>
    <row r="227" spans="1:2" x14ac:dyDescent="0.25">
      <c r="A227" t="s">
        <v>602</v>
      </c>
      <c r="B227">
        <v>6.0200000000000022</v>
      </c>
    </row>
    <row r="228" spans="1:2" x14ac:dyDescent="0.25">
      <c r="A228" t="s">
        <v>603</v>
      </c>
      <c r="B228">
        <v>29.221</v>
      </c>
    </row>
    <row r="229" spans="1:2" x14ac:dyDescent="0.25">
      <c r="A229" t="s">
        <v>604</v>
      </c>
      <c r="B229">
        <v>0</v>
      </c>
    </row>
    <row r="230" spans="1:2" x14ac:dyDescent="0.25">
      <c r="A230" t="s">
        <v>605</v>
      </c>
      <c r="B230">
        <v>1.063269</v>
      </c>
    </row>
    <row r="231" spans="1:2" x14ac:dyDescent="0.25">
      <c r="A231" t="s">
        <v>606</v>
      </c>
      <c r="B231">
        <v>2.1594120000000001</v>
      </c>
    </row>
    <row r="232" spans="1:2" x14ac:dyDescent="0.25">
      <c r="A232" t="s">
        <v>607</v>
      </c>
      <c r="B232">
        <v>0</v>
      </c>
    </row>
    <row r="233" spans="1:2" x14ac:dyDescent="0.25">
      <c r="A233" t="s">
        <v>608</v>
      </c>
      <c r="B233">
        <v>1.7313909999999999</v>
      </c>
    </row>
    <row r="234" spans="1:2" x14ac:dyDescent="0.25">
      <c r="A234" t="s">
        <v>609</v>
      </c>
      <c r="B234">
        <v>18.151599000000001</v>
      </c>
    </row>
    <row r="235" spans="1:2" x14ac:dyDescent="0.25">
      <c r="A235" t="s">
        <v>610</v>
      </c>
      <c r="B235">
        <v>6.0192909999999999</v>
      </c>
    </row>
    <row r="236" spans="1:2" x14ac:dyDescent="0.25">
      <c r="A236" t="s">
        <v>611</v>
      </c>
      <c r="B236">
        <v>29.220783999999998</v>
      </c>
    </row>
    <row r="237" spans="1:2" x14ac:dyDescent="0.25">
      <c r="A237" t="s">
        <v>612</v>
      </c>
      <c r="B237" t="s">
        <v>613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defaultRowHeight="14" x14ac:dyDescent="0.25"/>
  <sheetData>
    <row r="1" spans="1:5" x14ac:dyDescent="0.25">
      <c r="A1" s="1" t="s">
        <v>614</v>
      </c>
      <c r="B1" s="1" t="s">
        <v>615</v>
      </c>
      <c r="C1" s="1" t="s">
        <v>616</v>
      </c>
      <c r="D1" s="1" t="s">
        <v>1</v>
      </c>
      <c r="E1" s="1" t="s">
        <v>617</v>
      </c>
    </row>
    <row r="2" spans="1:5" x14ac:dyDescent="0.25">
      <c r="A2" t="s">
        <v>112</v>
      </c>
      <c r="B2" t="s">
        <v>618</v>
      </c>
      <c r="C2">
        <v>1</v>
      </c>
      <c r="D2">
        <v>0.67031355376587765</v>
      </c>
      <c r="E2">
        <v>30.943250833158061</v>
      </c>
    </row>
    <row r="3" spans="1:5" x14ac:dyDescent="0.25">
      <c r="A3" t="s">
        <v>113</v>
      </c>
      <c r="B3" t="s">
        <v>619</v>
      </c>
      <c r="C3">
        <v>4.6988623620787158E-2</v>
      </c>
      <c r="D3">
        <v>5.5223448866800202E-2</v>
      </c>
      <c r="E3">
        <v>2.549244335814687</v>
      </c>
    </row>
    <row r="4" spans="1:5" x14ac:dyDescent="0.25">
      <c r="A4" t="s">
        <v>114</v>
      </c>
      <c r="B4" t="s">
        <v>620</v>
      </c>
      <c r="C4">
        <v>1.325917124942102E-2</v>
      </c>
      <c r="D4">
        <v>1.7240836495612529E-6</v>
      </c>
      <c r="E4">
        <v>7.9587757887338969E-5</v>
      </c>
    </row>
    <row r="5" spans="1:5" x14ac:dyDescent="0.25">
      <c r="A5" t="s">
        <v>115</v>
      </c>
      <c r="B5" t="s">
        <v>621</v>
      </c>
      <c r="C5">
        <v>2.1516069338430128</v>
      </c>
      <c r="D5">
        <v>1.310723987774028</v>
      </c>
      <c r="E5">
        <v>60.506103298777667</v>
      </c>
    </row>
    <row r="6" spans="1:5" x14ac:dyDescent="0.25">
      <c r="A6" t="s">
        <v>116</v>
      </c>
      <c r="B6" t="s">
        <v>622</v>
      </c>
      <c r="C6">
        <v>7.8309183480030797E-2</v>
      </c>
      <c r="D6">
        <v>0.1174456015503173</v>
      </c>
      <c r="E6">
        <v>5.4215653071695424</v>
      </c>
    </row>
    <row r="7" spans="1:5" x14ac:dyDescent="0.25">
      <c r="A7" t="s">
        <v>117</v>
      </c>
      <c r="B7" t="s">
        <v>623</v>
      </c>
      <c r="C7">
        <v>0.24707337911315319</v>
      </c>
      <c r="D7">
        <v>1.2559079004922589E-2</v>
      </c>
      <c r="E7">
        <v>0.57975663732215499</v>
      </c>
    </row>
    <row r="8" spans="1:5" x14ac:dyDescent="0.25">
      <c r="A8" t="s">
        <v>118</v>
      </c>
      <c r="B8" t="s">
        <v>5</v>
      </c>
      <c r="D8">
        <v>2.1662673950455948</v>
      </c>
      <c r="E8">
        <v>100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1"/>
  <sheetViews>
    <sheetView workbookViewId="0"/>
  </sheetViews>
  <sheetFormatPr defaultRowHeight="14" x14ac:dyDescent="0.25"/>
  <sheetData>
    <row r="1" spans="1:9" x14ac:dyDescent="0.25">
      <c r="A1" s="1" t="s">
        <v>624</v>
      </c>
      <c r="B1" s="1" t="s">
        <v>1</v>
      </c>
      <c r="C1" s="1" t="s">
        <v>321</v>
      </c>
      <c r="D1" s="1" t="s">
        <v>322</v>
      </c>
      <c r="E1" s="1" t="s">
        <v>2</v>
      </c>
      <c r="F1" s="1" t="s">
        <v>323</v>
      </c>
      <c r="G1" s="1" t="s">
        <v>625</v>
      </c>
      <c r="H1" s="1" t="s">
        <v>626</v>
      </c>
      <c r="I1" s="1" t="s">
        <v>627</v>
      </c>
    </row>
    <row r="2" spans="1:9" x14ac:dyDescent="0.25">
      <c r="A2" t="s">
        <v>628</v>
      </c>
      <c r="B2">
        <v>3.8080354659860869</v>
      </c>
      <c r="C2">
        <v>-4</v>
      </c>
      <c r="D2">
        <v>8</v>
      </c>
      <c r="E2" t="s">
        <v>13</v>
      </c>
      <c r="F2">
        <v>1.2E-2</v>
      </c>
      <c r="G2" t="s">
        <v>629</v>
      </c>
      <c r="H2" t="b">
        <v>0</v>
      </c>
    </row>
    <row r="3" spans="1:9" x14ac:dyDescent="0.25">
      <c r="A3" t="s">
        <v>630</v>
      </c>
      <c r="B3">
        <v>7.8653558859592498E-15</v>
      </c>
      <c r="C3">
        <v>-30</v>
      </c>
      <c r="D3">
        <v>30</v>
      </c>
      <c r="E3" t="s">
        <v>13</v>
      </c>
      <c r="F3">
        <v>0.06</v>
      </c>
      <c r="G3" t="s">
        <v>629</v>
      </c>
      <c r="H3" t="b">
        <v>0</v>
      </c>
    </row>
    <row r="4" spans="1:9" x14ac:dyDescent="0.25">
      <c r="A4" t="s">
        <v>631</v>
      </c>
      <c r="B4">
        <v>-0.1140304863710548</v>
      </c>
      <c r="C4">
        <v>-30</v>
      </c>
      <c r="D4">
        <v>30</v>
      </c>
      <c r="E4" t="s">
        <v>13</v>
      </c>
      <c r="F4">
        <v>0.06</v>
      </c>
      <c r="G4" t="s">
        <v>629</v>
      </c>
      <c r="H4" t="b">
        <v>0</v>
      </c>
    </row>
    <row r="5" spans="1:9" x14ac:dyDescent="0.25">
      <c r="A5" t="s">
        <v>632</v>
      </c>
      <c r="B5">
        <v>-1.367107440935978E-14</v>
      </c>
      <c r="C5">
        <v>-30</v>
      </c>
      <c r="D5">
        <v>30</v>
      </c>
      <c r="E5" t="s">
        <v>13</v>
      </c>
      <c r="F5">
        <v>0.06</v>
      </c>
      <c r="G5" t="s">
        <v>629</v>
      </c>
      <c r="H5" t="b">
        <v>0</v>
      </c>
    </row>
    <row r="6" spans="1:9" x14ac:dyDescent="0.25">
      <c r="A6" t="s">
        <v>155</v>
      </c>
      <c r="B6">
        <v>0.7500000074958727</v>
      </c>
      <c r="C6">
        <v>0.3</v>
      </c>
      <c r="D6">
        <v>0.75</v>
      </c>
      <c r="E6" t="s">
        <v>17</v>
      </c>
      <c r="F6">
        <v>7.5000000000000002E-4</v>
      </c>
      <c r="G6" t="s">
        <v>633</v>
      </c>
      <c r="H6" t="b">
        <v>1</v>
      </c>
      <c r="I6" t="s">
        <v>634</v>
      </c>
    </row>
    <row r="7" spans="1:9" x14ac:dyDescent="0.25">
      <c r="A7" t="s">
        <v>156</v>
      </c>
      <c r="B7">
        <v>0.16463967059609719</v>
      </c>
      <c r="C7">
        <v>0.1</v>
      </c>
      <c r="D7">
        <v>0.3</v>
      </c>
      <c r="E7" t="s">
        <v>17</v>
      </c>
      <c r="F7">
        <v>2.9999999999999997E-4</v>
      </c>
      <c r="G7" t="s">
        <v>629</v>
      </c>
      <c r="H7" t="b">
        <v>0</v>
      </c>
    </row>
    <row r="8" spans="1:9" x14ac:dyDescent="0.25">
      <c r="A8" t="s">
        <v>635</v>
      </c>
      <c r="B8">
        <v>0.39999999440488571</v>
      </c>
      <c r="C8">
        <v>0.4</v>
      </c>
      <c r="D8">
        <v>0.8</v>
      </c>
      <c r="E8" t="s">
        <v>17</v>
      </c>
      <c r="F8">
        <v>8.0000000000000004E-4</v>
      </c>
      <c r="G8" t="s">
        <v>636</v>
      </c>
      <c r="H8" t="b">
        <v>1</v>
      </c>
      <c r="I8" t="s">
        <v>637</v>
      </c>
    </row>
    <row r="9" spans="1:9" x14ac:dyDescent="0.25">
      <c r="A9" t="s">
        <v>19</v>
      </c>
      <c r="B9">
        <v>0.56397162325106132</v>
      </c>
      <c r="C9">
        <v>0.35</v>
      </c>
      <c r="D9">
        <v>0.7</v>
      </c>
      <c r="E9" t="s">
        <v>17</v>
      </c>
      <c r="F9">
        <v>6.9999999999999999E-4</v>
      </c>
      <c r="G9" t="s">
        <v>629</v>
      </c>
      <c r="H9" t="b">
        <v>0</v>
      </c>
    </row>
    <row r="10" spans="1:9" x14ac:dyDescent="0.25">
      <c r="A10" t="s">
        <v>160</v>
      </c>
      <c r="B10">
        <v>0.36555216483528957</v>
      </c>
      <c r="C10">
        <v>0.2</v>
      </c>
      <c r="D10">
        <v>0.5</v>
      </c>
      <c r="E10" t="s">
        <v>17</v>
      </c>
      <c r="F10">
        <v>5.0000000000000001E-4</v>
      </c>
      <c r="G10" t="s">
        <v>629</v>
      </c>
      <c r="H10" t="b">
        <v>0</v>
      </c>
    </row>
    <row r="11" spans="1:9" x14ac:dyDescent="0.25">
      <c r="A11" t="s">
        <v>162</v>
      </c>
      <c r="B11">
        <v>0.1187676990826549</v>
      </c>
      <c r="C11">
        <v>0.1</v>
      </c>
      <c r="D11">
        <v>0.3</v>
      </c>
      <c r="E11" t="s">
        <v>17</v>
      </c>
      <c r="F11">
        <v>2.9999999999999997E-4</v>
      </c>
      <c r="G11" t="s">
        <v>629</v>
      </c>
      <c r="H11" t="b">
        <v>0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5"/>
  <sheetViews>
    <sheetView topLeftCell="A25" workbookViewId="0"/>
  </sheetViews>
  <sheetFormatPr defaultRowHeight="14" x14ac:dyDescent="0.25"/>
  <cols>
    <col min="1" max="2" width="32.6328125" customWidth="1"/>
  </cols>
  <sheetData>
    <row r="1" spans="1:4" x14ac:dyDescent="0.25">
      <c r="A1" s="1" t="s">
        <v>638</v>
      </c>
      <c r="B1" s="1" t="s">
        <v>0</v>
      </c>
      <c r="C1" s="1" t="s">
        <v>1</v>
      </c>
      <c r="D1" s="1" t="s">
        <v>2</v>
      </c>
    </row>
    <row r="2" spans="1:4" x14ac:dyDescent="0.25">
      <c r="A2" t="s">
        <v>639</v>
      </c>
      <c r="B2" t="s">
        <v>640</v>
      </c>
      <c r="C2">
        <v>6.5</v>
      </c>
      <c r="D2" t="s">
        <v>10</v>
      </c>
    </row>
    <row r="3" spans="1:4" x14ac:dyDescent="0.25">
      <c r="A3" t="s">
        <v>639</v>
      </c>
      <c r="B3" t="s">
        <v>641</v>
      </c>
      <c r="C3">
        <v>4</v>
      </c>
      <c r="D3" t="s">
        <v>10</v>
      </c>
    </row>
    <row r="4" spans="1:4" x14ac:dyDescent="0.25">
      <c r="A4" t="s">
        <v>639</v>
      </c>
      <c r="B4" t="s">
        <v>642</v>
      </c>
      <c r="C4">
        <v>50</v>
      </c>
      <c r="D4" t="s">
        <v>13</v>
      </c>
    </row>
    <row r="5" spans="1:4" x14ac:dyDescent="0.25">
      <c r="A5" t="s">
        <v>639</v>
      </c>
      <c r="B5" t="s">
        <v>643</v>
      </c>
      <c r="C5">
        <v>0.2</v>
      </c>
      <c r="D5" t="s">
        <v>17</v>
      </c>
    </row>
    <row r="6" spans="1:4" x14ac:dyDescent="0.25">
      <c r="A6" t="s">
        <v>639</v>
      </c>
      <c r="B6" t="s">
        <v>644</v>
      </c>
      <c r="C6">
        <v>0.2</v>
      </c>
      <c r="D6" t="s">
        <v>15</v>
      </c>
    </row>
    <row r="7" spans="1:4" x14ac:dyDescent="0.25">
      <c r="A7" t="s">
        <v>645</v>
      </c>
      <c r="B7" t="s">
        <v>646</v>
      </c>
      <c r="C7">
        <v>8.4</v>
      </c>
      <c r="D7" t="s">
        <v>17</v>
      </c>
    </row>
    <row r="8" spans="1:4" x14ac:dyDescent="0.25">
      <c r="A8" t="s">
        <v>645</v>
      </c>
      <c r="B8" t="s">
        <v>647</v>
      </c>
      <c r="C8">
        <v>4.8</v>
      </c>
      <c r="D8" t="s">
        <v>17</v>
      </c>
    </row>
    <row r="9" spans="1:4" x14ac:dyDescent="0.25">
      <c r="A9" t="s">
        <v>645</v>
      </c>
      <c r="B9" t="s">
        <v>648</v>
      </c>
      <c r="C9">
        <v>3.5</v>
      </c>
      <c r="D9" t="s">
        <v>17</v>
      </c>
    </row>
    <row r="10" spans="1:4" x14ac:dyDescent="0.25">
      <c r="A10" t="s">
        <v>649</v>
      </c>
      <c r="B10" t="s">
        <v>628</v>
      </c>
      <c r="C10">
        <v>3.8080354659860869</v>
      </c>
      <c r="D10" t="s">
        <v>13</v>
      </c>
    </row>
    <row r="11" spans="1:4" x14ac:dyDescent="0.25">
      <c r="A11" t="s">
        <v>649</v>
      </c>
      <c r="B11" t="s">
        <v>630</v>
      </c>
      <c r="C11">
        <v>7.8653558859592498E-15</v>
      </c>
      <c r="D11" t="s">
        <v>13</v>
      </c>
    </row>
    <row r="12" spans="1:4" x14ac:dyDescent="0.25">
      <c r="A12" t="s">
        <v>649</v>
      </c>
      <c r="B12" t="s">
        <v>631</v>
      </c>
      <c r="C12">
        <v>-0.1140304863710548</v>
      </c>
      <c r="D12" t="s">
        <v>13</v>
      </c>
    </row>
    <row r="13" spans="1:4" x14ac:dyDescent="0.25">
      <c r="A13" t="s">
        <v>649</v>
      </c>
      <c r="B13" t="s">
        <v>632</v>
      </c>
      <c r="C13">
        <v>-1.367107440935978E-14</v>
      </c>
      <c r="D13" t="s">
        <v>13</v>
      </c>
    </row>
    <row r="14" spans="1:4" x14ac:dyDescent="0.25">
      <c r="A14" t="s">
        <v>649</v>
      </c>
      <c r="B14" t="s">
        <v>650</v>
      </c>
      <c r="C14">
        <v>0.67031355376587765</v>
      </c>
      <c r="D14" t="s">
        <v>10</v>
      </c>
    </row>
    <row r="15" spans="1:4" x14ac:dyDescent="0.25">
      <c r="A15" t="s">
        <v>649</v>
      </c>
      <c r="B15" t="s">
        <v>651</v>
      </c>
      <c r="C15">
        <v>0.35532273919989299</v>
      </c>
      <c r="D15" t="s">
        <v>5</v>
      </c>
    </row>
    <row r="16" spans="1:4" x14ac:dyDescent="0.25">
      <c r="A16" t="s">
        <v>649</v>
      </c>
      <c r="B16" t="s">
        <v>652</v>
      </c>
      <c r="C16">
        <v>-0.82724261728227877</v>
      </c>
      <c r="D16" t="s">
        <v>78</v>
      </c>
    </row>
    <row r="17" spans="1:4" x14ac:dyDescent="0.25">
      <c r="A17" t="s">
        <v>653</v>
      </c>
      <c r="B17" t="s">
        <v>26</v>
      </c>
      <c r="C17">
        <v>3.8080354659860869</v>
      </c>
      <c r="D17" t="s">
        <v>13</v>
      </c>
    </row>
    <row r="18" spans="1:4" x14ac:dyDescent="0.25">
      <c r="A18" t="s">
        <v>653</v>
      </c>
      <c r="B18" t="s">
        <v>27</v>
      </c>
      <c r="C18">
        <v>7.8653558859592498E-15</v>
      </c>
      <c r="D18" t="s">
        <v>13</v>
      </c>
    </row>
    <row r="19" spans="1:4" x14ac:dyDescent="0.25">
      <c r="A19" t="s">
        <v>653</v>
      </c>
      <c r="B19" t="s">
        <v>28</v>
      </c>
      <c r="C19">
        <v>-0.1140304863710548</v>
      </c>
      <c r="D19" t="s">
        <v>13</v>
      </c>
    </row>
    <row r="20" spans="1:4" x14ac:dyDescent="0.25">
      <c r="A20" t="s">
        <v>653</v>
      </c>
      <c r="B20" t="s">
        <v>29</v>
      </c>
      <c r="C20">
        <v>-1.367107440935978E-14</v>
      </c>
      <c r="D20" t="s">
        <v>13</v>
      </c>
    </row>
    <row r="21" spans="1:4" x14ac:dyDescent="0.25">
      <c r="A21" t="s">
        <v>653</v>
      </c>
      <c r="B21" t="s">
        <v>654</v>
      </c>
      <c r="C21">
        <v>0.35532273919989299</v>
      </c>
      <c r="D21" t="s">
        <v>5</v>
      </c>
    </row>
    <row r="22" spans="1:4" x14ac:dyDescent="0.25">
      <c r="A22" t="s">
        <v>653</v>
      </c>
      <c r="B22" t="s">
        <v>52</v>
      </c>
      <c r="C22">
        <v>1.824999996252064</v>
      </c>
      <c r="D22" t="s">
        <v>17</v>
      </c>
    </row>
    <row r="23" spans="1:4" x14ac:dyDescent="0.25">
      <c r="A23" t="s">
        <v>653</v>
      </c>
      <c r="B23" t="s">
        <v>53</v>
      </c>
      <c r="C23">
        <v>1.824999996252064</v>
      </c>
      <c r="D23" t="s">
        <v>17</v>
      </c>
    </row>
    <row r="24" spans="1:4" x14ac:dyDescent="0.25">
      <c r="A24" t="s">
        <v>653</v>
      </c>
      <c r="B24" t="s">
        <v>54</v>
      </c>
      <c r="C24">
        <v>8.7671233056759572</v>
      </c>
      <c r="D24" t="s">
        <v>55</v>
      </c>
    </row>
    <row r="25" spans="1:4" x14ac:dyDescent="0.25">
      <c r="A25" t="s">
        <v>653</v>
      </c>
      <c r="B25" t="s">
        <v>56</v>
      </c>
      <c r="C25">
        <v>7.514895921886005</v>
      </c>
      <c r="D25" t="s">
        <v>55</v>
      </c>
    </row>
    <row r="26" spans="1:4" x14ac:dyDescent="0.25">
      <c r="A26" t="s">
        <v>653</v>
      </c>
      <c r="B26" t="s">
        <v>57</v>
      </c>
      <c r="C26">
        <v>2.1291046697536289</v>
      </c>
      <c r="D26" t="s">
        <v>17</v>
      </c>
    </row>
    <row r="27" spans="1:4" x14ac:dyDescent="0.25">
      <c r="A27" t="s">
        <v>653</v>
      </c>
      <c r="B27" t="s">
        <v>58</v>
      </c>
      <c r="C27">
        <v>2.7041046735015661</v>
      </c>
      <c r="D27" t="s">
        <v>17</v>
      </c>
    </row>
    <row r="28" spans="1:4" x14ac:dyDescent="0.25">
      <c r="A28" t="s">
        <v>653</v>
      </c>
      <c r="B28" t="s">
        <v>59</v>
      </c>
      <c r="C28">
        <v>-1.252227383789952</v>
      </c>
      <c r="D28" t="s">
        <v>55</v>
      </c>
    </row>
    <row r="29" spans="1:4" x14ac:dyDescent="0.25">
      <c r="A29" t="s">
        <v>653</v>
      </c>
      <c r="B29" t="s">
        <v>652</v>
      </c>
      <c r="C29">
        <v>-0.82724261728227877</v>
      </c>
      <c r="D29" t="s">
        <v>78</v>
      </c>
    </row>
    <row r="30" spans="1:4" x14ac:dyDescent="0.25">
      <c r="A30" t="s">
        <v>653</v>
      </c>
      <c r="B30" t="s">
        <v>71</v>
      </c>
      <c r="C30">
        <v>3.7170441248321147E-2</v>
      </c>
      <c r="D30" t="s">
        <v>15</v>
      </c>
    </row>
    <row r="31" spans="1:4" x14ac:dyDescent="0.25">
      <c r="A31" t="s">
        <v>653</v>
      </c>
      <c r="B31" t="s">
        <v>72</v>
      </c>
      <c r="C31">
        <v>25.5</v>
      </c>
      <c r="D31" t="s">
        <v>13</v>
      </c>
    </row>
    <row r="32" spans="1:4" x14ac:dyDescent="0.25">
      <c r="A32" t="s">
        <v>653</v>
      </c>
      <c r="B32" t="s">
        <v>73</v>
      </c>
      <c r="C32">
        <v>25.57077861162896</v>
      </c>
      <c r="D32" t="s">
        <v>13</v>
      </c>
    </row>
    <row r="33" spans="1:4" x14ac:dyDescent="0.25">
      <c r="A33" t="s">
        <v>653</v>
      </c>
      <c r="B33" t="s">
        <v>74</v>
      </c>
      <c r="C33">
        <v>-24.403255810358889</v>
      </c>
      <c r="D33" t="s">
        <v>13</v>
      </c>
    </row>
    <row r="34" spans="1:4" x14ac:dyDescent="0.25">
      <c r="A34" t="s">
        <v>653</v>
      </c>
      <c r="B34" t="s">
        <v>75</v>
      </c>
      <c r="C34">
        <v>25.596744189641111</v>
      </c>
      <c r="D34" t="s">
        <v>13</v>
      </c>
    </row>
    <row r="35" spans="1:4" x14ac:dyDescent="0.25">
      <c r="A35" t="s">
        <v>653</v>
      </c>
      <c r="B35" t="s">
        <v>76</v>
      </c>
      <c r="C35">
        <v>25.596744189641111</v>
      </c>
      <c r="D35" t="s">
        <v>13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Summary</vt:lpstr>
      <vt:lpstr>Geometry</vt:lpstr>
      <vt:lpstr>MassBreakdown</vt:lpstr>
      <vt:lpstr>Aerodynamics</vt:lpstr>
      <vt:lpstr>Constraints</vt:lpstr>
      <vt:lpstr>ActiveConstraints</vt:lpstr>
      <vt:lpstr>SolverStats</vt:lpstr>
      <vt:lpstr>ObjectiveTerms</vt:lpstr>
      <vt:lpstr>DesignVarBounds</vt:lpstr>
      <vt:lpstr>DesignPoints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Hanchen Li</cp:lastModifiedBy>
  <dcterms:created xsi:type="dcterms:W3CDTF">2026-03-09T00:41:02Z</dcterms:created>
  <dcterms:modified xsi:type="dcterms:W3CDTF">2026-03-16T15:46:56Z</dcterms:modified>
</cp:coreProperties>
</file>