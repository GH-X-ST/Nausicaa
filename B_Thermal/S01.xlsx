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l3422_ic_ac_uk/Documents/Year 4/Final Year Project/02 - Experiment/01 - Thermal/"/>
    </mc:Choice>
  </mc:AlternateContent>
  <xr:revisionPtr revIDLastSave="3734" documentId="8_{76318ECD-2708-074C-A97C-F91BD5AAD85F}" xr6:coauthVersionLast="47" xr6:coauthVersionMax="47" xr10:uidLastSave="{9CC59689-FBDD-477C-8A49-077B807F4362}"/>
  <bookViews>
    <workbookView xWindow="-110" yWindow="-110" windowWidth="25820" windowHeight="13900" firstSheet="3" activeTab="3" xr2:uid="{00000000-000D-0000-FFFF-FFFF00000000}"/>
  </bookViews>
  <sheets>
    <sheet name="README" sheetId="1" r:id="rId1"/>
    <sheet name="SETUP" sheetId="3" r:id="rId2"/>
    <sheet name="FANS" sheetId="5" r:id="rId3"/>
    <sheet name="z020" sheetId="6" r:id="rId4"/>
    <sheet name="z020_TS" sheetId="14" r:id="rId5"/>
    <sheet name="z020_Slower" sheetId="15" r:id="rId6"/>
    <sheet name="z020_Lower" sheetId="17" r:id="rId7"/>
    <sheet name="z020_Higher" sheetId="16" r:id="rId8"/>
    <sheet name="z035" sheetId="7" r:id="rId9"/>
    <sheet name="z035_TS" sheetId="18" r:id="rId10"/>
    <sheet name="z035_Slower" sheetId="19" r:id="rId11"/>
    <sheet name="z035_Lower" sheetId="20" r:id="rId12"/>
    <sheet name="z035_Higher" sheetId="21" r:id="rId13"/>
    <sheet name="z050" sheetId="8" r:id="rId14"/>
    <sheet name="z050_TS" sheetId="22" r:id="rId15"/>
    <sheet name="z050_Slower" sheetId="23" r:id="rId16"/>
    <sheet name="z050_Lower" sheetId="24" r:id="rId17"/>
    <sheet name="z050_Higher" sheetId="25" r:id="rId18"/>
    <sheet name="z075" sheetId="9" r:id="rId19"/>
    <sheet name="z075_TS" sheetId="26" r:id="rId20"/>
    <sheet name="z075_Slower" sheetId="27" r:id="rId21"/>
    <sheet name="z075_Lower" sheetId="28" r:id="rId22"/>
    <sheet name="z075_Higher" sheetId="29" r:id="rId23"/>
    <sheet name="z110" sheetId="10" r:id="rId24"/>
    <sheet name="z110_TS" sheetId="30" r:id="rId25"/>
    <sheet name="z110_Slower" sheetId="31" r:id="rId26"/>
    <sheet name="z110_Lower" sheetId="32" r:id="rId27"/>
    <sheet name="z110_Higher" sheetId="33" r:id="rId28"/>
    <sheet name="z160" sheetId="11" r:id="rId29"/>
    <sheet name="z160_TS" sheetId="34" r:id="rId30"/>
    <sheet name="z160_Slower" sheetId="35" r:id="rId31"/>
    <sheet name="z160_Lower" sheetId="36" r:id="rId32"/>
    <sheet name="z160_Higher" sheetId="37" r:id="rId33"/>
    <sheet name="z220" sheetId="13" r:id="rId34"/>
    <sheet name="z220_TS" sheetId="38" r:id="rId35"/>
    <sheet name="z220_Slower" sheetId="39" r:id="rId36"/>
    <sheet name="z220_Lower" sheetId="40" r:id="rId37"/>
    <sheet name="z220_Higher" sheetId="41" r:id="rId3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8" l="1"/>
  <c r="F2" i="28"/>
  <c r="L2" i="28"/>
  <c r="M2" i="28"/>
  <c r="S2" i="28"/>
  <c r="T2" i="28"/>
  <c r="E19" i="28"/>
  <c r="F19" i="28"/>
  <c r="L19" i="28"/>
  <c r="M19" i="28"/>
  <c r="S19" i="28"/>
  <c r="T19" i="28"/>
  <c r="T19" i="41"/>
  <c r="S19" i="41"/>
  <c r="M19" i="41"/>
  <c r="L19" i="41"/>
  <c r="F19" i="41"/>
  <c r="E19" i="41"/>
  <c r="T19" i="40"/>
  <c r="S19" i="40"/>
  <c r="M19" i="40"/>
  <c r="L19" i="40"/>
  <c r="F19" i="40"/>
  <c r="E19" i="40"/>
  <c r="T19" i="38"/>
  <c r="S19" i="38"/>
  <c r="M19" i="38"/>
  <c r="L19" i="38"/>
  <c r="F19" i="38"/>
  <c r="E19" i="38"/>
  <c r="T19" i="39"/>
  <c r="S19" i="39"/>
  <c r="M19" i="39"/>
  <c r="L19" i="39"/>
  <c r="F19" i="39"/>
  <c r="E19" i="39"/>
  <c r="T19" i="37"/>
  <c r="S19" i="37"/>
  <c r="M19" i="37"/>
  <c r="L19" i="37"/>
  <c r="F19" i="37"/>
  <c r="E19" i="37"/>
  <c r="T19" i="36"/>
  <c r="S19" i="36"/>
  <c r="M19" i="36"/>
  <c r="L19" i="36"/>
  <c r="F19" i="36"/>
  <c r="E19" i="36"/>
  <c r="T19" i="35"/>
  <c r="S19" i="35"/>
  <c r="M19" i="35"/>
  <c r="L19" i="35"/>
  <c r="F19" i="35"/>
  <c r="E19" i="35"/>
  <c r="T19" i="34"/>
  <c r="S19" i="34"/>
  <c r="M19" i="34"/>
  <c r="L19" i="34"/>
  <c r="F19" i="34"/>
  <c r="E19" i="34"/>
  <c r="T19" i="33"/>
  <c r="S19" i="33"/>
  <c r="M19" i="33"/>
  <c r="L19" i="33"/>
  <c r="F19" i="33"/>
  <c r="E19" i="33"/>
  <c r="T19" i="32"/>
  <c r="S19" i="32"/>
  <c r="M19" i="32"/>
  <c r="L19" i="32"/>
  <c r="F19" i="32"/>
  <c r="E19" i="32"/>
  <c r="T19" i="31"/>
  <c r="S19" i="31"/>
  <c r="M19" i="31"/>
  <c r="L19" i="31"/>
  <c r="F19" i="31"/>
  <c r="E19" i="31"/>
  <c r="T19" i="30"/>
  <c r="S19" i="30"/>
  <c r="M19" i="30"/>
  <c r="L19" i="30"/>
  <c r="F19" i="30"/>
  <c r="E19" i="30"/>
  <c r="T19" i="29"/>
  <c r="S19" i="29"/>
  <c r="M19" i="29"/>
  <c r="L19" i="29"/>
  <c r="F19" i="29"/>
  <c r="E19" i="29"/>
  <c r="T19" i="27"/>
  <c r="S19" i="27"/>
  <c r="M19" i="27"/>
  <c r="L19" i="27"/>
  <c r="F19" i="27"/>
  <c r="E19" i="27"/>
  <c r="T19" i="26"/>
  <c r="S19" i="26"/>
  <c r="M19" i="26"/>
  <c r="L19" i="26"/>
  <c r="F19" i="26"/>
  <c r="E19" i="26"/>
  <c r="T19" i="25"/>
  <c r="S19" i="25"/>
  <c r="M19" i="25"/>
  <c r="L19" i="25"/>
  <c r="F19" i="25"/>
  <c r="E19" i="25"/>
  <c r="T19" i="24"/>
  <c r="S19" i="24"/>
  <c r="M19" i="24"/>
  <c r="L19" i="24"/>
  <c r="F19" i="24"/>
  <c r="E19" i="24"/>
  <c r="T19" i="23"/>
  <c r="S19" i="23"/>
  <c r="M19" i="23"/>
  <c r="L19" i="23"/>
  <c r="F19" i="23"/>
  <c r="E19" i="23"/>
  <c r="T19" i="22"/>
  <c r="S19" i="22"/>
  <c r="M19" i="22"/>
  <c r="L19" i="22"/>
  <c r="F19" i="22"/>
  <c r="E19" i="22"/>
  <c r="T19" i="21"/>
  <c r="S19" i="21"/>
  <c r="M19" i="21"/>
  <c r="L19" i="21"/>
  <c r="F19" i="21"/>
  <c r="E19" i="21"/>
  <c r="T19" i="20"/>
  <c r="S19" i="20"/>
  <c r="M19" i="20"/>
  <c r="L19" i="20"/>
  <c r="F19" i="20"/>
  <c r="E19" i="20"/>
  <c r="T19" i="19"/>
  <c r="S19" i="19"/>
  <c r="M19" i="19"/>
  <c r="L19" i="19"/>
  <c r="F19" i="19"/>
  <c r="E19" i="19"/>
  <c r="T19" i="18"/>
  <c r="S19" i="18"/>
  <c r="M19" i="18"/>
  <c r="L19" i="18"/>
  <c r="F19" i="18"/>
  <c r="E19" i="18"/>
  <c r="T19" i="16"/>
  <c r="S19" i="16"/>
  <c r="M19" i="16"/>
  <c r="L19" i="16"/>
  <c r="F19" i="16"/>
  <c r="E19" i="16"/>
  <c r="T19" i="17"/>
  <c r="S19" i="17"/>
  <c r="M19" i="17"/>
  <c r="L19" i="17"/>
  <c r="F19" i="17"/>
  <c r="E19" i="17"/>
  <c r="E19" i="15"/>
  <c r="F19" i="15"/>
  <c r="L19" i="15"/>
  <c r="M19" i="15"/>
  <c r="S19" i="15"/>
  <c r="T19" i="15"/>
  <c r="L19" i="14"/>
  <c r="M19" i="14"/>
  <c r="S19" i="14"/>
  <c r="T19" i="14"/>
  <c r="E2" i="41"/>
  <c r="F2" i="41"/>
  <c r="L2" i="41"/>
  <c r="M2" i="41"/>
  <c r="S2" i="41"/>
  <c r="T2" i="41"/>
  <c r="E2" i="40"/>
  <c r="F2" i="40"/>
  <c r="L2" i="40"/>
  <c r="M2" i="40"/>
  <c r="S2" i="40"/>
  <c r="T2" i="40"/>
  <c r="E2" i="39"/>
  <c r="F2" i="39"/>
  <c r="L2" i="39"/>
  <c r="M2" i="39"/>
  <c r="S2" i="39"/>
  <c r="T2" i="39"/>
  <c r="E2" i="38"/>
  <c r="F2" i="38"/>
  <c r="L2" i="38"/>
  <c r="M2" i="38"/>
  <c r="S2" i="38"/>
  <c r="T2" i="38"/>
  <c r="E2" i="37"/>
  <c r="F2" i="37"/>
  <c r="L2" i="37"/>
  <c r="M2" i="37"/>
  <c r="S2" i="37"/>
  <c r="T2" i="37"/>
  <c r="E2" i="36"/>
  <c r="F2" i="36"/>
  <c r="L2" i="36"/>
  <c r="M2" i="36"/>
  <c r="S2" i="36"/>
  <c r="T2" i="36"/>
  <c r="E2" i="35"/>
  <c r="F2" i="35"/>
  <c r="L2" i="35"/>
  <c r="M2" i="35"/>
  <c r="S2" i="35"/>
  <c r="T2" i="35"/>
  <c r="E2" i="34"/>
  <c r="F2" i="34"/>
  <c r="L2" i="34"/>
  <c r="M2" i="34"/>
  <c r="S2" i="34"/>
  <c r="T2" i="34"/>
  <c r="E2" i="33"/>
  <c r="F2" i="33"/>
  <c r="L2" i="33"/>
  <c r="M2" i="33"/>
  <c r="S2" i="33"/>
  <c r="T2" i="33"/>
  <c r="E2" i="32"/>
  <c r="F2" i="32"/>
  <c r="L2" i="32"/>
  <c r="M2" i="32"/>
  <c r="S2" i="32"/>
  <c r="T2" i="32"/>
  <c r="E2" i="31"/>
  <c r="F2" i="31"/>
  <c r="L2" i="31"/>
  <c r="M2" i="31"/>
  <c r="S2" i="31"/>
  <c r="T2" i="31"/>
  <c r="E2" i="30"/>
  <c r="F2" i="30"/>
  <c r="L2" i="30"/>
  <c r="M2" i="30"/>
  <c r="S2" i="30"/>
  <c r="T2" i="30"/>
  <c r="E2" i="29"/>
  <c r="F2" i="29"/>
  <c r="L2" i="29"/>
  <c r="M2" i="29"/>
  <c r="S2" i="29"/>
  <c r="T2" i="29"/>
  <c r="E2" i="27"/>
  <c r="F2" i="27"/>
  <c r="L2" i="27"/>
  <c r="M2" i="27"/>
  <c r="S2" i="27"/>
  <c r="T2" i="27"/>
  <c r="E2" i="26"/>
  <c r="F2" i="26"/>
  <c r="L2" i="26"/>
  <c r="M2" i="26"/>
  <c r="S2" i="26"/>
  <c r="T2" i="26"/>
  <c r="E2" i="25"/>
  <c r="F2" i="25"/>
  <c r="L2" i="25"/>
  <c r="M2" i="25"/>
  <c r="S2" i="25"/>
  <c r="T2" i="25"/>
  <c r="E2" i="24"/>
  <c r="F2" i="24"/>
  <c r="L2" i="24"/>
  <c r="M2" i="24"/>
  <c r="S2" i="24"/>
  <c r="T2" i="24"/>
  <c r="E2" i="23"/>
  <c r="F2" i="23"/>
  <c r="L2" i="23"/>
  <c r="M2" i="23"/>
  <c r="S2" i="23"/>
  <c r="T2" i="23"/>
  <c r="E2" i="22"/>
  <c r="F2" i="22"/>
  <c r="L2" i="22"/>
  <c r="M2" i="22"/>
  <c r="S2" i="22"/>
  <c r="T2" i="22"/>
  <c r="E2" i="21"/>
  <c r="F2" i="21"/>
  <c r="L2" i="21"/>
  <c r="M2" i="21"/>
  <c r="S2" i="21"/>
  <c r="T2" i="21"/>
  <c r="E2" i="20"/>
  <c r="F2" i="20"/>
  <c r="L2" i="20"/>
  <c r="M2" i="20"/>
  <c r="S2" i="20"/>
  <c r="T2" i="20"/>
  <c r="E2" i="19"/>
  <c r="F2" i="19"/>
  <c r="L2" i="19"/>
  <c r="M2" i="19"/>
  <c r="S2" i="19"/>
  <c r="T2" i="19"/>
  <c r="E2" i="18"/>
  <c r="F2" i="18"/>
  <c r="L2" i="18"/>
  <c r="M2" i="18"/>
  <c r="S2" i="18"/>
  <c r="T2" i="18"/>
  <c r="E2" i="17"/>
  <c r="F2" i="17"/>
  <c r="L2" i="17"/>
  <c r="M2" i="17"/>
  <c r="S2" i="17"/>
  <c r="T2" i="17"/>
  <c r="T2" i="16"/>
  <c r="S2" i="16"/>
  <c r="M2" i="16"/>
  <c r="L2" i="16"/>
  <c r="F2" i="16"/>
  <c r="E2" i="16"/>
  <c r="T2" i="15"/>
  <c r="S2" i="15"/>
  <c r="M2" i="15"/>
  <c r="L2" i="15"/>
  <c r="F2" i="15"/>
  <c r="E2" i="15"/>
  <c r="F19" i="14"/>
  <c r="E19" i="14"/>
  <c r="T2" i="14"/>
  <c r="S2" i="14"/>
  <c r="M2" i="14"/>
  <c r="L2" i="14"/>
  <c r="E2" i="14"/>
  <c r="F2" i="14"/>
  <c r="E1" i="6"/>
  <c r="F1" i="6"/>
  <c r="G1" i="6"/>
  <c r="H1" i="6"/>
  <c r="I1" i="6"/>
  <c r="J1" i="6"/>
  <c r="K1" i="6"/>
  <c r="L1" i="6"/>
  <c r="M1" i="6"/>
  <c r="N1" i="6"/>
  <c r="A4" i="6"/>
  <c r="A5" i="6"/>
  <c r="A6" i="6"/>
  <c r="A7" i="6"/>
  <c r="A8" i="6"/>
  <c r="A9" i="6"/>
  <c r="A10" i="6"/>
  <c r="A11" i="6"/>
  <c r="A12" i="6"/>
  <c r="A13" i="6"/>
  <c r="A4" i="11"/>
  <c r="A5" i="11"/>
  <c r="A6" i="11"/>
  <c r="A7" i="11"/>
  <c r="A8" i="11"/>
  <c r="A9" i="11"/>
  <c r="A10" i="11"/>
  <c r="A11" i="11"/>
  <c r="A12" i="11"/>
  <c r="A13" i="11"/>
  <c r="E1" i="11"/>
  <c r="F1" i="11"/>
  <c r="G1" i="11"/>
  <c r="H1" i="11"/>
  <c r="I1" i="11"/>
  <c r="J1" i="11"/>
  <c r="K1" i="11"/>
  <c r="L1" i="11"/>
  <c r="M1" i="11"/>
  <c r="N1" i="11"/>
  <c r="A4" i="10"/>
  <c r="A5" i="10"/>
  <c r="A6" i="10"/>
  <c r="A7" i="10"/>
  <c r="A8" i="10"/>
  <c r="A9" i="10"/>
  <c r="A10" i="10"/>
  <c r="A11" i="10"/>
  <c r="A12" i="10"/>
  <c r="A13" i="10"/>
  <c r="E1" i="10"/>
  <c r="F1" i="10"/>
  <c r="G1" i="10"/>
  <c r="H1" i="10"/>
  <c r="I1" i="10"/>
  <c r="J1" i="10"/>
  <c r="K1" i="10"/>
  <c r="L1" i="10"/>
  <c r="M1" i="10"/>
  <c r="N1" i="10"/>
  <c r="A4" i="9"/>
  <c r="A5" i="9"/>
  <c r="A6" i="9"/>
  <c r="A7" i="9"/>
  <c r="A8" i="9"/>
  <c r="A9" i="9"/>
  <c r="A10" i="9"/>
  <c r="A11" i="9"/>
  <c r="A12" i="9"/>
  <c r="A13" i="9"/>
  <c r="E1" i="9"/>
  <c r="F1" i="9"/>
  <c r="G1" i="9"/>
  <c r="H1" i="9"/>
  <c r="I1" i="9"/>
  <c r="J1" i="9"/>
  <c r="K1" i="9"/>
  <c r="L1" i="9"/>
  <c r="M1" i="9"/>
  <c r="N1" i="9"/>
  <c r="A4" i="8"/>
  <c r="A5" i="8"/>
  <c r="A6" i="8"/>
  <c r="A7" i="8"/>
  <c r="A8" i="8"/>
  <c r="A9" i="8"/>
  <c r="A10" i="8"/>
  <c r="A11" i="8"/>
  <c r="A12" i="8"/>
  <c r="A13" i="8"/>
  <c r="E1" i="8"/>
  <c r="F1" i="8"/>
  <c r="G1" i="8"/>
  <c r="H1" i="8"/>
  <c r="I1" i="8"/>
  <c r="J1" i="8"/>
  <c r="K1" i="8"/>
  <c r="L1" i="8"/>
  <c r="M1" i="8"/>
  <c r="N1" i="8"/>
  <c r="A4" i="7"/>
  <c r="A5" i="7"/>
  <c r="A6" i="7"/>
  <c r="A7" i="7"/>
  <c r="A8" i="7"/>
  <c r="A9" i="7"/>
  <c r="A10" i="7"/>
  <c r="A11" i="7"/>
  <c r="A12" i="7"/>
  <c r="A13" i="7"/>
  <c r="E1" i="7"/>
  <c r="F1" i="7"/>
  <c r="G1" i="7"/>
  <c r="H1" i="7"/>
  <c r="I1" i="7"/>
  <c r="J1" i="7"/>
  <c r="K1" i="7"/>
  <c r="L1" i="7"/>
  <c r="M1" i="7"/>
  <c r="N1" i="7"/>
  <c r="A4" i="13"/>
  <c r="A5" i="13"/>
  <c r="A6" i="13"/>
  <c r="A7" i="13"/>
  <c r="A8" i="13"/>
  <c r="A9" i="13"/>
  <c r="A10" i="13"/>
  <c r="A11" i="13"/>
  <c r="A12" i="13"/>
  <c r="A13" i="13"/>
  <c r="E1" i="13"/>
  <c r="F1" i="13"/>
  <c r="G1" i="13"/>
  <c r="H1" i="13"/>
  <c r="I1" i="13"/>
  <c r="J1" i="13"/>
  <c r="K1" i="13"/>
  <c r="L1" i="13"/>
  <c r="M1" i="13"/>
  <c r="N1" i="13"/>
</calcChain>
</file>

<file path=xl/sharedStrings.xml><?xml version="1.0" encoding="utf-8"?>
<sst xmlns="http://schemas.openxmlformats.org/spreadsheetml/2006/main" count="1120" uniqueCount="72">
  <si>
    <t>Title</t>
    <phoneticPr fontId="1" type="noConversion"/>
  </si>
  <si>
    <t>Date</t>
  </si>
  <si>
    <t>Operator</t>
    <phoneticPr fontId="1" type="noConversion"/>
  </si>
  <si>
    <t>Experimental Measurement of Fan-Generated Indoor Thermals</t>
    <phoneticPr fontId="1" type="noConversion"/>
  </si>
  <si>
    <t>Hanchen Li</t>
    <phoneticPr fontId="1" type="noConversion"/>
  </si>
  <si>
    <t>Instrument</t>
    <phoneticPr fontId="1" type="noConversion"/>
  </si>
  <si>
    <t>BENETECH GM8903 Hot Wire Anemometer</t>
    <phoneticPr fontId="1" type="noConversion"/>
  </si>
  <si>
    <t>Location</t>
    <phoneticPr fontId="1" type="noConversion"/>
  </si>
  <si>
    <t>Flight Arena (CAGB 530)</t>
    <phoneticPr fontId="1" type="noConversion"/>
  </si>
  <si>
    <t>0 - 30</t>
    <phoneticPr fontId="1" type="noConversion"/>
  </si>
  <si>
    <t>8.0 × 5.0 × 3.5</t>
    <phoneticPr fontId="1" type="noConversion"/>
  </si>
  <si>
    <r>
      <t xml:space="preserve">Velocity resolution </t>
    </r>
    <r>
      <rPr>
        <sz val="11"/>
        <color theme="1"/>
        <rFont val="Arial"/>
        <family val="2"/>
      </rPr>
      <t>(m/s)</t>
    </r>
    <phoneticPr fontId="1" type="noConversion"/>
  </si>
  <si>
    <t>Experiment Information</t>
    <phoneticPr fontId="1" type="noConversion"/>
  </si>
  <si>
    <t>Measurement Environment</t>
    <phoneticPr fontId="1" type="noConversion"/>
  </si>
  <si>
    <t>Coordinate system</t>
    <phoneticPr fontId="1" type="noConversion"/>
  </si>
  <si>
    <t>Instrumentation</t>
    <phoneticPr fontId="1" type="noConversion"/>
  </si>
  <si>
    <t>Measured quantities</t>
    <phoneticPr fontId="1" type="noConversion"/>
  </si>
  <si>
    <r>
      <t xml:space="preserve">Size </t>
    </r>
    <r>
      <rPr>
        <sz val="11"/>
        <color theme="1"/>
        <rFont val="Arial"/>
        <family val="2"/>
      </rPr>
      <t>(m)</t>
    </r>
    <phoneticPr fontId="1" type="noConversion"/>
  </si>
  <si>
    <r>
      <t xml:space="preserve">Velocity range </t>
    </r>
    <r>
      <rPr>
        <sz val="11"/>
        <color theme="1"/>
        <rFont val="Arial"/>
        <family val="2"/>
      </rPr>
      <t>(m/s)</t>
    </r>
    <phoneticPr fontId="1" type="noConversion"/>
  </si>
  <si>
    <t xml:space="preserve">Air velocity magnitude &amp; Air temperature </t>
    <phoneticPr fontId="1" type="noConversion"/>
  </si>
  <si>
    <t>Velocity accuracy</t>
    <phoneticPr fontId="1" type="noConversion"/>
  </si>
  <si>
    <t>±3% ± 0.1 digits</t>
    <phoneticPr fontId="1" type="noConversion"/>
  </si>
  <si>
    <r>
      <t>Temperature range</t>
    </r>
    <r>
      <rPr>
        <sz val="11"/>
        <color theme="1"/>
        <rFont val="Arial"/>
        <family val="2"/>
      </rPr>
      <t xml:space="preserve"> (°C)</t>
    </r>
    <phoneticPr fontId="1" type="noConversion"/>
  </si>
  <si>
    <t>Temperature accuracy</t>
    <phoneticPr fontId="1" type="noConversion"/>
  </si>
  <si>
    <t>0 - 45</t>
    <phoneticPr fontId="1" type="noConversion"/>
  </si>
  <si>
    <t>±2°C</t>
    <phoneticPr fontId="1" type="noConversion"/>
  </si>
  <si>
    <t>Fan Configuration</t>
    <phoneticPr fontId="1" type="noConversion"/>
  </si>
  <si>
    <t>Fan model</t>
    <phoneticPr fontId="1" type="noConversion"/>
  </si>
  <si>
    <t>Clarke CAMAX30 30" Extra High Output Drum Fan</t>
    <phoneticPr fontId="1" type="noConversion"/>
  </si>
  <si>
    <t>Fan positions</t>
    <phoneticPr fontId="1" type="noConversion"/>
  </si>
  <si>
    <t>Logged explicitly in the FANS data sheet</t>
    <phoneticPr fontId="1" type="noConversion"/>
  </si>
  <si>
    <t>Setting 2</t>
    <phoneticPr fontId="1" type="noConversion"/>
  </si>
  <si>
    <t>Orientation</t>
    <phoneticPr fontId="1" type="noConversion"/>
  </si>
  <si>
    <t>Vertical upward flow</t>
    <phoneticPr fontId="1" type="noConversion"/>
  </si>
  <si>
    <t>setup_id</t>
    <phoneticPr fontId="1" type="noConversion"/>
  </si>
  <si>
    <t>S01</t>
    <phoneticPr fontId="1" type="noConversion"/>
  </si>
  <si>
    <t>number_of_fans</t>
    <phoneticPr fontId="1" type="noConversion"/>
  </si>
  <si>
    <t>fan_mode</t>
    <phoneticPr fontId="1" type="noConversion"/>
  </si>
  <si>
    <t>ambient_temp_C</t>
    <phoneticPr fontId="1" type="noConversion"/>
  </si>
  <si>
    <t>doors_closed</t>
    <phoneticPr fontId="1" type="noConversion"/>
  </si>
  <si>
    <t>YES</t>
    <phoneticPr fontId="1" type="noConversion"/>
  </si>
  <si>
    <t>ventilation_on</t>
    <phoneticPr fontId="1" type="noConversion"/>
  </si>
  <si>
    <t>NO</t>
    <phoneticPr fontId="1" type="noConversion"/>
  </si>
  <si>
    <t>notes</t>
    <phoneticPr fontId="1" type="noConversion"/>
  </si>
  <si>
    <t>fan_id</t>
    <phoneticPr fontId="1" type="noConversion"/>
  </si>
  <si>
    <t>F01</t>
    <phoneticPr fontId="1" type="noConversion"/>
  </si>
  <si>
    <t>x_fan</t>
    <phoneticPr fontId="1" type="noConversion"/>
  </si>
  <si>
    <t>y_fan</t>
    <phoneticPr fontId="1" type="noConversion"/>
  </si>
  <si>
    <t>z_fan</t>
    <phoneticPr fontId="1" type="noConversion"/>
  </si>
  <si>
    <t>diameter</t>
    <phoneticPr fontId="1" type="noConversion"/>
  </si>
  <si>
    <t>orientation</t>
    <phoneticPr fontId="1" type="noConversion"/>
  </si>
  <si>
    <t>vertical</t>
    <phoneticPr fontId="1" type="noConversion"/>
  </si>
  <si>
    <t>height</t>
    <phoneticPr fontId="1" type="noConversion"/>
  </si>
  <si>
    <t>Mesurement height</t>
    <phoneticPr fontId="1" type="noConversion"/>
  </si>
  <si>
    <t>Relative to fan outlet 0.20, 0.35, 0.50, 0.75, 1.10, 1.60, 2.20 m</t>
    <phoneticPr fontId="1" type="noConversion"/>
  </si>
  <si>
    <t>y/x</t>
    <phoneticPr fontId="1" type="noConversion"/>
  </si>
  <si>
    <t>(4.0,2.5,0.0) defined at centre of the Vicon system</t>
    <phoneticPr fontId="1" type="noConversion"/>
  </si>
  <si>
    <t>middle</t>
  </si>
  <si>
    <t>20/01/2026</t>
    <phoneticPr fontId="1" type="noConversion"/>
  </si>
  <si>
    <t>see Project Logbook 12.2</t>
    <phoneticPr fontId="1" type="noConversion"/>
  </si>
  <si>
    <t>date</t>
    <phoneticPr fontId="1" type="noConversion"/>
  </si>
  <si>
    <t>·</t>
    <phoneticPr fontId="1" type="noConversion"/>
  </si>
  <si>
    <t>x</t>
  </si>
  <si>
    <t>y</t>
  </si>
  <si>
    <t>time</t>
  </si>
  <si>
    <t>w</t>
  </si>
  <si>
    <t>mean</t>
  </si>
  <si>
    <t>variance</t>
  </si>
  <si>
    <t>Note</t>
  </si>
  <si>
    <r>
      <t xml:space="preserve">For fan mode setting 1, as 1st control group for </t>
    </r>
    <r>
      <rPr>
        <b/>
        <sz val="11"/>
        <color theme="1"/>
        <rFont val="等线"/>
        <family val="2"/>
        <scheme val="minor"/>
      </rPr>
      <t>different rpm</t>
    </r>
  </si>
  <si>
    <r>
      <t>For fan height 0.43 m, as 3rd control group for</t>
    </r>
    <r>
      <rPr>
        <b/>
        <sz val="11"/>
        <color theme="1"/>
        <rFont val="等线"/>
        <family val="2"/>
        <scheme val="minor"/>
      </rPr>
      <t xml:space="preserve"> ground effect</t>
    </r>
  </si>
  <si>
    <t>For fan height 0.24 m, as 2nd control group for ground effect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</si>
</sst>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);[Red]\(0.00\)"/>
    <numFmt numFmtId="177" formatCode="0.0_);[Red]\(0.0\)"/>
    <numFmt numFmtId="178" formatCode="0.000"/>
    <numFmt numFmtId="179" formatCode="0.0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176" fontId="2" fillId="0" borderId="0" xfId="0" applyNumberFormat="1" applyFont="1" applyAlignment="1">
      <alignment horizontal="center" vertical="center"/>
    </xf>
    <xf numFmtId="176" fontId="2" fillId="2" borderId="0" xfId="0" applyNumberFormat="1" applyFont="1" applyFill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7" fontId="3" fillId="2" borderId="0" xfId="0" applyNumberFormat="1" applyFont="1" applyFill="1" applyAlignment="1">
      <alignment horizontal="center" vertical="center"/>
    </xf>
    <xf numFmtId="176" fontId="2" fillId="0" borderId="0" xfId="0" applyNumberFormat="1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5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>
      <selection activeCell="B3" sqref="B3"/>
    </sheetView>
  </sheetViews>
  <sheetFormatPr defaultColWidth="8.5" defaultRowHeight="22" customHeight="1" x14ac:dyDescent="0.3"/>
  <cols>
    <col min="1" max="1" width="25.58203125" style="2" customWidth="1"/>
    <col min="2" max="2" width="55.4140625" style="1" customWidth="1"/>
    <col min="3" max="16384" width="8.5" style="1"/>
  </cols>
  <sheetData>
    <row r="1" spans="1:2" ht="22" customHeight="1" x14ac:dyDescent="0.3">
      <c r="A1" s="16" t="s">
        <v>12</v>
      </c>
      <c r="B1" s="16"/>
    </row>
    <row r="2" spans="1:2" ht="22" customHeight="1" x14ac:dyDescent="0.3">
      <c r="A2" s="2" t="s">
        <v>0</v>
      </c>
      <c r="B2" s="1" t="s">
        <v>3</v>
      </c>
    </row>
    <row r="3" spans="1:2" ht="22" customHeight="1" x14ac:dyDescent="0.3">
      <c r="A3" s="2" t="s">
        <v>1</v>
      </c>
      <c r="B3" s="1" t="s">
        <v>58</v>
      </c>
    </row>
    <row r="4" spans="1:2" ht="22" customHeight="1" x14ac:dyDescent="0.3">
      <c r="A4" s="2" t="s">
        <v>2</v>
      </c>
      <c r="B4" s="1" t="s">
        <v>4</v>
      </c>
    </row>
    <row r="5" spans="1:2" ht="22" customHeight="1" x14ac:dyDescent="0.3">
      <c r="A5" s="16" t="s">
        <v>13</v>
      </c>
      <c r="B5" s="16"/>
    </row>
    <row r="6" spans="1:2" ht="22" customHeight="1" x14ac:dyDescent="0.3">
      <c r="A6" s="2" t="s">
        <v>7</v>
      </c>
      <c r="B6" s="1" t="s">
        <v>8</v>
      </c>
    </row>
    <row r="7" spans="1:2" ht="22" customHeight="1" x14ac:dyDescent="0.3">
      <c r="A7" s="2" t="s">
        <v>17</v>
      </c>
      <c r="B7" s="1" t="s">
        <v>10</v>
      </c>
    </row>
    <row r="8" spans="1:2" ht="22" customHeight="1" x14ac:dyDescent="0.3">
      <c r="A8" s="2" t="s">
        <v>14</v>
      </c>
      <c r="B8" s="4" t="s">
        <v>56</v>
      </c>
    </row>
    <row r="9" spans="1:2" ht="22" customHeight="1" x14ac:dyDescent="0.3">
      <c r="A9" s="2" t="s">
        <v>53</v>
      </c>
      <c r="B9" s="4" t="s">
        <v>54</v>
      </c>
    </row>
    <row r="10" spans="1:2" ht="22" customHeight="1" x14ac:dyDescent="0.3">
      <c r="A10" s="16" t="s">
        <v>15</v>
      </c>
      <c r="B10" s="16"/>
    </row>
    <row r="11" spans="1:2" ht="22" customHeight="1" x14ac:dyDescent="0.3">
      <c r="A11" s="2" t="s">
        <v>5</v>
      </c>
      <c r="B11" s="1" t="s">
        <v>6</v>
      </c>
    </row>
    <row r="12" spans="1:2" ht="22" customHeight="1" x14ac:dyDescent="0.3">
      <c r="A12" s="2" t="s">
        <v>16</v>
      </c>
      <c r="B12" s="1" t="s">
        <v>19</v>
      </c>
    </row>
    <row r="13" spans="1:2" ht="22" customHeight="1" x14ac:dyDescent="0.3">
      <c r="A13" s="2" t="s">
        <v>18</v>
      </c>
      <c r="B13" s="1" t="s">
        <v>9</v>
      </c>
    </row>
    <row r="14" spans="1:2" ht="22" customHeight="1" x14ac:dyDescent="0.3">
      <c r="A14" s="2" t="s">
        <v>11</v>
      </c>
      <c r="B14" s="1">
        <v>0.1</v>
      </c>
    </row>
    <row r="15" spans="1:2" ht="22" customHeight="1" x14ac:dyDescent="0.3">
      <c r="A15" s="2" t="s">
        <v>20</v>
      </c>
      <c r="B15" s="1" t="s">
        <v>21</v>
      </c>
    </row>
    <row r="16" spans="1:2" ht="22" customHeight="1" x14ac:dyDescent="0.3">
      <c r="A16" s="2" t="s">
        <v>22</v>
      </c>
      <c r="B16" s="1" t="s">
        <v>24</v>
      </c>
    </row>
    <row r="17" spans="1:2" ht="22" customHeight="1" x14ac:dyDescent="0.3">
      <c r="A17" s="2" t="s">
        <v>23</v>
      </c>
      <c r="B17" s="1" t="s">
        <v>25</v>
      </c>
    </row>
    <row r="18" spans="1:2" ht="22" customHeight="1" x14ac:dyDescent="0.3">
      <c r="A18" s="16" t="s">
        <v>26</v>
      </c>
      <c r="B18" s="16"/>
    </row>
    <row r="19" spans="1:2" ht="22" customHeight="1" x14ac:dyDescent="0.3">
      <c r="A19" s="2" t="s">
        <v>27</v>
      </c>
      <c r="B19" s="1" t="s">
        <v>28</v>
      </c>
    </row>
    <row r="20" spans="1:2" ht="22" customHeight="1" x14ac:dyDescent="0.3">
      <c r="A20" s="2" t="s">
        <v>29</v>
      </c>
      <c r="B20" s="1" t="s">
        <v>30</v>
      </c>
    </row>
    <row r="21" spans="1:2" ht="22" customHeight="1" x14ac:dyDescent="0.3">
      <c r="A21" s="2" t="s">
        <v>32</v>
      </c>
      <c r="B21" s="1" t="s">
        <v>33</v>
      </c>
    </row>
  </sheetData>
  <mergeCells count="4">
    <mergeCell ref="A1:B1"/>
    <mergeCell ref="A5:B5"/>
    <mergeCell ref="A10:B10"/>
    <mergeCell ref="A18:B18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CA0EC-5B89-4A85-9DF8-6E8523CD8240}">
  <dimension ref="A1:B8"/>
  <sheetViews>
    <sheetView workbookViewId="0">
      <selection activeCell="A7" sqref="A7"/>
    </sheetView>
  </sheetViews>
  <sheetFormatPr defaultColWidth="8.5" defaultRowHeight="22" customHeight="1" x14ac:dyDescent="0.3"/>
  <cols>
    <col min="1" max="1" width="25.58203125" style="2" customWidth="1"/>
    <col min="2" max="2" width="55.4140625" style="1" customWidth="1"/>
    <col min="3" max="16384" width="8.5" style="1"/>
  </cols>
  <sheetData>
    <row r="1" spans="1:2" ht="22" customHeight="1" x14ac:dyDescent="0.3">
      <c r="A1" s="2" t="s">
        <v>34</v>
      </c>
      <c r="B1" s="1" t="s">
        <v>35</v>
      </c>
    </row>
    <row r="2" spans="1:2" ht="22" customHeight="1" x14ac:dyDescent="0.3">
      <c r="A2" s="2" t="s">
        <v>60</v>
      </c>
      <c r="B2" s="1" t="s">
        <v>58</v>
      </c>
    </row>
    <row r="3" spans="1:2" ht="22" customHeight="1" x14ac:dyDescent="0.3">
      <c r="A3" s="2" t="s">
        <v>36</v>
      </c>
      <c r="B3" s="1">
        <v>1</v>
      </c>
    </row>
    <row r="4" spans="1:2" ht="22" customHeight="1" x14ac:dyDescent="0.3">
      <c r="A4" s="2" t="s">
        <v>37</v>
      </c>
      <c r="B4" s="1" t="s">
        <v>31</v>
      </c>
    </row>
    <row r="5" spans="1:2" ht="22" customHeight="1" x14ac:dyDescent="0.3">
      <c r="A5" s="2" t="s">
        <v>38</v>
      </c>
      <c r="B5" s="1">
        <v>19</v>
      </c>
    </row>
    <row r="6" spans="1:2" ht="22" customHeight="1" x14ac:dyDescent="0.3">
      <c r="A6" s="2" t="s">
        <v>39</v>
      </c>
      <c r="B6" s="1" t="s">
        <v>40</v>
      </c>
    </row>
    <row r="7" spans="1:2" ht="22" customHeight="1" x14ac:dyDescent="0.3">
      <c r="A7" s="2" t="s">
        <v>41</v>
      </c>
      <c r="B7" s="1" t="s">
        <v>42</v>
      </c>
    </row>
    <row r="8" spans="1:2" ht="22" customHeight="1" x14ac:dyDescent="0.3">
      <c r="A8" s="2" t="s">
        <v>43</v>
      </c>
      <c r="B8" s="1" t="s">
        <v>59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11001-3B0B-4B8D-B29E-A5F7BDE91A2A}">
  <dimension ref="A1:F8"/>
  <sheetViews>
    <sheetView workbookViewId="0">
      <selection activeCell="B5" sqref="B5"/>
    </sheetView>
  </sheetViews>
  <sheetFormatPr defaultColWidth="8.5" defaultRowHeight="22" customHeight="1" x14ac:dyDescent="0.3"/>
  <cols>
    <col min="1" max="1" width="25.58203125" style="2" customWidth="1"/>
    <col min="2" max="2" width="55.4140625" style="1" customWidth="1"/>
    <col min="3" max="16384" width="8.5" style="1"/>
  </cols>
  <sheetData>
    <row r="1" spans="1:6" ht="22" customHeight="1" x14ac:dyDescent="0.3">
      <c r="A1" s="2" t="s">
        <v>44</v>
      </c>
      <c r="B1" s="1" t="s">
        <v>45</v>
      </c>
    </row>
    <row r="2" spans="1:6" ht="22" customHeight="1" x14ac:dyDescent="0.3">
      <c r="A2" s="2" t="s">
        <v>46</v>
      </c>
      <c r="B2" s="9">
        <v>2.4</v>
      </c>
    </row>
    <row r="3" spans="1:6" ht="22" customHeight="1" x14ac:dyDescent="0.3">
      <c r="A3" s="2" t="s">
        <v>47</v>
      </c>
      <c r="B3" s="9">
        <v>4.2</v>
      </c>
    </row>
    <row r="4" spans="1:6" ht="22" customHeight="1" x14ac:dyDescent="0.3">
      <c r="A4" s="2" t="s">
        <v>48</v>
      </c>
      <c r="B4" s="9">
        <v>0.33</v>
      </c>
    </row>
    <row r="5" spans="1:6" ht="22" customHeight="1" x14ac:dyDescent="0.3">
      <c r="A5" s="2" t="s">
        <v>52</v>
      </c>
      <c r="B5" s="9">
        <v>0.2</v>
      </c>
    </row>
    <row r="6" spans="1:6" ht="22" customHeight="1" x14ac:dyDescent="0.3">
      <c r="A6" s="2" t="s">
        <v>49</v>
      </c>
      <c r="B6" s="9">
        <v>0.8</v>
      </c>
      <c r="F6" s="1" t="s">
        <v>61</v>
      </c>
    </row>
    <row r="7" spans="1:6" ht="22" customHeight="1" x14ac:dyDescent="0.3">
      <c r="A7" s="2" t="s">
        <v>50</v>
      </c>
      <c r="B7" s="1" t="s">
        <v>51</v>
      </c>
    </row>
    <row r="8" spans="1:6" ht="22" customHeight="1" x14ac:dyDescent="0.3">
      <c r="A8" s="2" t="s">
        <v>43</v>
      </c>
      <c r="B8" s="1" t="s">
        <v>57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A034C-C78A-4B7A-BBC6-D78012F50909}">
  <dimension ref="A1:P14"/>
  <sheetViews>
    <sheetView tabSelected="1" workbookViewId="0">
      <selection activeCell="I22" sqref="I22"/>
    </sheetView>
  </sheetViews>
  <sheetFormatPr defaultColWidth="10.75" defaultRowHeight="20.149999999999999" customHeight="1" x14ac:dyDescent="0.3"/>
  <cols>
    <col min="1" max="16384" width="10.75" style="3"/>
  </cols>
  <sheetData>
    <row r="1" spans="1:16" ht="20.149999999999999" customHeight="1" x14ac:dyDescent="0.3">
      <c r="A1" s="7" t="s">
        <v>55</v>
      </c>
      <c r="B1" s="7">
        <v>0</v>
      </c>
      <c r="C1" s="7">
        <v>1.2</v>
      </c>
      <c r="D1" s="7">
        <v>2.2000000000000002</v>
      </c>
      <c r="E1" s="7">
        <f>D1+0.4</f>
        <v>2.6</v>
      </c>
      <c r="F1" s="7">
        <f t="shared" ref="F1:N1" si="0">E1+0.4</f>
        <v>3</v>
      </c>
      <c r="G1" s="7">
        <f t="shared" si="0"/>
        <v>3.4</v>
      </c>
      <c r="H1" s="7">
        <f t="shared" si="0"/>
        <v>3.8</v>
      </c>
      <c r="I1" s="8">
        <f t="shared" si="0"/>
        <v>4.2</v>
      </c>
      <c r="J1" s="7">
        <f t="shared" si="0"/>
        <v>4.6000000000000005</v>
      </c>
      <c r="K1" s="7">
        <f t="shared" si="0"/>
        <v>5.0000000000000009</v>
      </c>
      <c r="L1" s="7">
        <f t="shared" si="0"/>
        <v>5.4000000000000012</v>
      </c>
      <c r="M1" s="7">
        <f t="shared" si="0"/>
        <v>5.8000000000000016</v>
      </c>
      <c r="N1" s="7">
        <f t="shared" si="0"/>
        <v>6.200000000000002</v>
      </c>
      <c r="O1" s="7">
        <v>7.2</v>
      </c>
      <c r="P1" s="7">
        <v>8.4</v>
      </c>
    </row>
    <row r="2" spans="1:16" ht="20.149999999999999" customHeight="1" x14ac:dyDescent="0.3">
      <c r="A2" s="7">
        <v>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6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</row>
    <row r="3" spans="1:16" ht="20.149999999999999" customHeight="1" x14ac:dyDescent="0.3">
      <c r="A3" s="7">
        <v>0.4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6">
        <v>0.109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</row>
    <row r="4" spans="1:16" ht="20.149999999999999" customHeight="1" x14ac:dyDescent="0.3">
      <c r="A4" s="7">
        <f t="shared" ref="A4:A13" si="1">A3+0.4</f>
        <v>0.8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0.109</v>
      </c>
      <c r="H4" s="5">
        <v>0.187</v>
      </c>
      <c r="I4" s="6">
        <v>0.26800000000000002</v>
      </c>
      <c r="J4" s="5">
        <v>0.14000000000000001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</row>
    <row r="5" spans="1:16" ht="20.149999999999999" customHeight="1" x14ac:dyDescent="0.3">
      <c r="A5" s="7">
        <f t="shared" si="1"/>
        <v>1.2000000000000002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0.17799999999999999</v>
      </c>
      <c r="H5" s="5">
        <v>0.221</v>
      </c>
      <c r="I5" s="6">
        <v>0.60499999999999998</v>
      </c>
      <c r="J5" s="5">
        <v>0.22700000000000001</v>
      </c>
      <c r="K5" s="5">
        <v>0.34899999999999998</v>
      </c>
      <c r="L5" s="5">
        <v>9.2999999999999999E-2</v>
      </c>
      <c r="M5" s="5">
        <v>0</v>
      </c>
      <c r="N5" s="5">
        <v>0</v>
      </c>
      <c r="O5" s="5">
        <v>0</v>
      </c>
      <c r="P5" s="5">
        <v>0</v>
      </c>
    </row>
    <row r="6" spans="1:16" ht="20.149999999999999" customHeight="1" x14ac:dyDescent="0.3">
      <c r="A6" s="7">
        <f t="shared" si="1"/>
        <v>1.6</v>
      </c>
      <c r="B6" s="5">
        <v>0</v>
      </c>
      <c r="C6" s="5">
        <v>0</v>
      </c>
      <c r="D6" s="5">
        <v>0</v>
      </c>
      <c r="E6" s="5">
        <v>0</v>
      </c>
      <c r="F6" s="5">
        <v>8.4000000000000005E-2</v>
      </c>
      <c r="G6" s="5">
        <v>0.26100000000000001</v>
      </c>
      <c r="H6" s="5">
        <v>0.45100000000000001</v>
      </c>
      <c r="I6" s="6">
        <v>0.65</v>
      </c>
      <c r="J6" s="5">
        <v>0.253</v>
      </c>
      <c r="K6" s="5">
        <v>0.496</v>
      </c>
      <c r="L6" s="5">
        <v>0.216</v>
      </c>
      <c r="M6" s="5">
        <v>0</v>
      </c>
      <c r="N6" s="5">
        <v>0</v>
      </c>
      <c r="O6" s="5">
        <v>0</v>
      </c>
      <c r="P6" s="5">
        <v>0</v>
      </c>
    </row>
    <row r="7" spans="1:16" ht="20.149999999999999" customHeight="1" x14ac:dyDescent="0.3">
      <c r="A7" s="7">
        <f t="shared" si="1"/>
        <v>2</v>
      </c>
      <c r="B7" s="5">
        <v>0</v>
      </c>
      <c r="C7" s="5">
        <v>0</v>
      </c>
      <c r="D7" s="5">
        <v>0</v>
      </c>
      <c r="E7" s="5">
        <v>9.6000000000000002E-2</v>
      </c>
      <c r="F7" s="5">
        <v>0.16600000000000001</v>
      </c>
      <c r="G7" s="5">
        <v>0.47199999999999998</v>
      </c>
      <c r="H7" s="5">
        <v>0.78800000000000003</v>
      </c>
      <c r="I7" s="6">
        <v>4.7729999999999997</v>
      </c>
      <c r="J7" s="5">
        <v>0.81100000000000005</v>
      </c>
      <c r="K7" s="5">
        <v>0.78800000000000003</v>
      </c>
      <c r="L7" s="5">
        <v>0.13600000000000001</v>
      </c>
      <c r="M7" s="5">
        <v>0</v>
      </c>
      <c r="N7" s="5">
        <v>0</v>
      </c>
      <c r="O7" s="5">
        <v>0</v>
      </c>
      <c r="P7" s="5">
        <v>0</v>
      </c>
    </row>
    <row r="8" spans="1:16" ht="20.149999999999999" customHeight="1" x14ac:dyDescent="0.3">
      <c r="A8" s="8">
        <f t="shared" si="1"/>
        <v>2.4</v>
      </c>
      <c r="B8" s="6">
        <v>0</v>
      </c>
      <c r="C8" s="6">
        <v>0</v>
      </c>
      <c r="D8" s="6">
        <v>0</v>
      </c>
      <c r="E8" s="6">
        <v>0</v>
      </c>
      <c r="F8" s="6">
        <v>0.28100000000000003</v>
      </c>
      <c r="G8" s="6">
        <v>0.64</v>
      </c>
      <c r="H8" s="6">
        <v>4.843</v>
      </c>
      <c r="I8" s="6">
        <v>0.59899999999999998</v>
      </c>
      <c r="J8" s="6">
        <v>5.7290000000000001</v>
      </c>
      <c r="K8" s="6">
        <v>0.52700000000000002</v>
      </c>
      <c r="L8" s="6">
        <v>0.36499999999999999</v>
      </c>
      <c r="M8" s="6">
        <v>0</v>
      </c>
      <c r="N8" s="6">
        <v>0</v>
      </c>
      <c r="O8" s="6">
        <v>0</v>
      </c>
      <c r="P8" s="6">
        <v>0</v>
      </c>
    </row>
    <row r="9" spans="1:16" ht="20.149999999999999" customHeight="1" x14ac:dyDescent="0.3">
      <c r="A9" s="7">
        <f t="shared" si="1"/>
        <v>2.8</v>
      </c>
      <c r="B9" s="5">
        <v>0</v>
      </c>
      <c r="C9" s="5">
        <v>0</v>
      </c>
      <c r="D9" s="5">
        <v>0</v>
      </c>
      <c r="E9" s="5">
        <v>0</v>
      </c>
      <c r="F9" s="5">
        <v>0.152</v>
      </c>
      <c r="G9" s="5">
        <v>0.47799999999999998</v>
      </c>
      <c r="H9" s="5">
        <v>0.73199999999999998</v>
      </c>
      <c r="I9" s="6">
        <v>4.7789999999999999</v>
      </c>
      <c r="J9" s="5">
        <v>0.52600000000000002</v>
      </c>
      <c r="K9" s="5">
        <v>0.23899999999999999</v>
      </c>
      <c r="L9" s="5">
        <v>6.7000000000000004E-2</v>
      </c>
      <c r="M9" s="5">
        <v>0</v>
      </c>
      <c r="N9" s="5">
        <v>0</v>
      </c>
      <c r="O9" s="5">
        <v>0</v>
      </c>
      <c r="P9" s="5">
        <v>0</v>
      </c>
    </row>
    <row r="10" spans="1:16" ht="20.149999999999999" customHeight="1" x14ac:dyDescent="0.3">
      <c r="A10" s="7">
        <f t="shared" si="1"/>
        <v>3.1999999999999997</v>
      </c>
      <c r="B10" s="5">
        <v>0</v>
      </c>
      <c r="C10" s="5">
        <v>0</v>
      </c>
      <c r="D10" s="5">
        <v>0</v>
      </c>
      <c r="E10" s="5">
        <v>0</v>
      </c>
      <c r="F10" s="5">
        <v>0.11799999999999999</v>
      </c>
      <c r="G10" s="5">
        <v>4.7E-2</v>
      </c>
      <c r="H10" s="5">
        <v>0.57899999999999996</v>
      </c>
      <c r="I10" s="6">
        <v>0.625</v>
      </c>
      <c r="J10" s="5">
        <v>0.17199999999999999</v>
      </c>
      <c r="K10" s="5">
        <v>0.14599999999999999</v>
      </c>
      <c r="L10" s="5">
        <v>0.108</v>
      </c>
      <c r="M10" s="5">
        <v>0</v>
      </c>
      <c r="N10" s="5">
        <v>0</v>
      </c>
      <c r="O10" s="5">
        <v>0</v>
      </c>
      <c r="P10" s="5">
        <v>0</v>
      </c>
    </row>
    <row r="11" spans="1:16" ht="20.149999999999999" customHeight="1" x14ac:dyDescent="0.3">
      <c r="A11" s="7">
        <f t="shared" si="1"/>
        <v>3.5999999999999996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1.0999999999999999E-2</v>
      </c>
      <c r="H11" s="5">
        <v>6.0999999999999999E-2</v>
      </c>
      <c r="I11" s="6">
        <v>0.193</v>
      </c>
      <c r="J11" s="5">
        <v>0.05</v>
      </c>
      <c r="K11" s="5">
        <v>0</v>
      </c>
      <c r="L11" s="5">
        <v>9.0999999999999998E-2</v>
      </c>
      <c r="M11" s="5">
        <v>0</v>
      </c>
      <c r="N11" s="5">
        <v>0</v>
      </c>
      <c r="O11" s="5">
        <v>0</v>
      </c>
      <c r="P11" s="5">
        <v>0</v>
      </c>
    </row>
    <row r="12" spans="1:16" ht="20.149999999999999" customHeight="1" x14ac:dyDescent="0.3">
      <c r="A12" s="7">
        <f t="shared" si="1"/>
        <v>3.9999999999999996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6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</row>
    <row r="13" spans="1:16" ht="20.149999999999999" customHeight="1" x14ac:dyDescent="0.3">
      <c r="A13" s="7">
        <f t="shared" si="1"/>
        <v>4.3999999999999995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6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</row>
    <row r="14" spans="1:16" ht="20.149999999999999" customHeight="1" x14ac:dyDescent="0.3">
      <c r="A14" s="7">
        <v>4.8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6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</row>
  </sheetData>
  <phoneticPr fontId="1" type="noConversion"/>
  <conditionalFormatting sqref="B2:P1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78B4A-39C9-4D2F-96A8-9F0571138CFC}">
  <dimension ref="A1:T33"/>
  <sheetViews>
    <sheetView zoomScale="85" zoomScaleNormal="85" workbookViewId="0">
      <selection activeCell="J47" sqref="J47"/>
    </sheetView>
  </sheetViews>
  <sheetFormatPr defaultColWidth="10.75" defaultRowHeight="15" customHeight="1" x14ac:dyDescent="0.3"/>
  <cols>
    <col min="1" max="16384" width="10.75" style="10"/>
  </cols>
  <sheetData>
    <row r="1" spans="1:20" ht="15" customHeight="1" x14ac:dyDescent="0.3">
      <c r="A1" s="11" t="s">
        <v>62</v>
      </c>
      <c r="B1" s="11" t="s">
        <v>63</v>
      </c>
      <c r="C1" s="11" t="s">
        <v>64</v>
      </c>
      <c r="D1" s="11" t="s">
        <v>65</v>
      </c>
      <c r="E1" s="11" t="s">
        <v>66</v>
      </c>
      <c r="F1" s="11" t="s">
        <v>67</v>
      </c>
      <c r="H1" s="11" t="s">
        <v>62</v>
      </c>
      <c r="I1" s="11" t="s">
        <v>63</v>
      </c>
      <c r="J1" s="11" t="s">
        <v>64</v>
      </c>
      <c r="K1" s="11" t="s">
        <v>65</v>
      </c>
      <c r="L1" s="11" t="s">
        <v>66</v>
      </c>
      <c r="M1" s="11" t="s">
        <v>67</v>
      </c>
      <c r="O1" s="11" t="s">
        <v>62</v>
      </c>
      <c r="P1" s="11" t="s">
        <v>63</v>
      </c>
      <c r="Q1" s="11" t="s">
        <v>64</v>
      </c>
      <c r="R1" s="11" t="s">
        <v>65</v>
      </c>
      <c r="S1" s="11" t="s">
        <v>66</v>
      </c>
      <c r="T1" s="11" t="s">
        <v>67</v>
      </c>
    </row>
    <row r="2" spans="1:20" ht="15" customHeight="1" x14ac:dyDescent="0.3">
      <c r="A2" s="15">
        <v>4.5999999999999996</v>
      </c>
      <c r="B2" s="15">
        <v>2.4</v>
      </c>
      <c r="C2" s="13">
        <v>1</v>
      </c>
      <c r="D2" s="12">
        <v>5.8680000000000003</v>
      </c>
      <c r="E2" s="14">
        <f>AVERAGE(D2:D16)</f>
        <v>5.7288000000000014</v>
      </c>
      <c r="F2" s="14">
        <f>_xlfn.VAR.S(D2:D16)</f>
        <v>6.6460028571428603E-2</v>
      </c>
      <c r="H2" s="15">
        <v>3.8</v>
      </c>
      <c r="I2" s="15">
        <v>2.4</v>
      </c>
      <c r="J2" s="13">
        <v>1</v>
      </c>
      <c r="K2" s="12">
        <v>4.9770000000000003</v>
      </c>
      <c r="L2" s="14">
        <f>AVERAGE(K2:K16)</f>
        <v>4.8426000000000009</v>
      </c>
      <c r="M2" s="14">
        <f>_xlfn.VAR.S(K2:K16)</f>
        <v>7.9266857142856924E-3</v>
      </c>
      <c r="O2" s="15">
        <v>4.2</v>
      </c>
      <c r="P2" s="15">
        <v>1.6</v>
      </c>
      <c r="Q2" s="13">
        <v>1</v>
      </c>
      <c r="R2" s="12">
        <v>0.74099999999999999</v>
      </c>
      <c r="S2" s="14">
        <f>AVERAGE(R2:R16)</f>
        <v>0.65019999999999989</v>
      </c>
      <c r="T2" s="14">
        <f>_xlfn.VAR.S(R2:R16)</f>
        <v>1.8708457142857324E-2</v>
      </c>
    </row>
    <row r="3" spans="1:20" ht="15" customHeight="1" x14ac:dyDescent="0.3">
      <c r="A3" s="15"/>
      <c r="B3" s="15"/>
      <c r="C3" s="13">
        <v>2</v>
      </c>
      <c r="D3" s="12">
        <v>6.0979999999999999</v>
      </c>
      <c r="E3" s="14"/>
      <c r="F3" s="14"/>
      <c r="H3" s="15"/>
      <c r="I3" s="15"/>
      <c r="J3" s="13">
        <v>2</v>
      </c>
      <c r="K3" s="12">
        <v>4.8860000000000001</v>
      </c>
      <c r="L3" s="14"/>
      <c r="M3" s="14"/>
      <c r="O3" s="15"/>
      <c r="P3" s="15"/>
      <c r="Q3" s="13">
        <v>2</v>
      </c>
      <c r="R3" s="12">
        <v>0.69799999999999995</v>
      </c>
      <c r="S3" s="14"/>
      <c r="T3" s="14"/>
    </row>
    <row r="4" spans="1:20" ht="15" customHeight="1" x14ac:dyDescent="0.3">
      <c r="A4" s="15"/>
      <c r="B4" s="15"/>
      <c r="C4" s="13">
        <v>3</v>
      </c>
      <c r="D4" s="12">
        <v>5.9969999999999999</v>
      </c>
      <c r="E4" s="14"/>
      <c r="F4" s="14"/>
      <c r="H4" s="15"/>
      <c r="I4" s="15"/>
      <c r="J4" s="13">
        <v>3</v>
      </c>
      <c r="K4" s="12">
        <v>4.7460000000000004</v>
      </c>
      <c r="L4" s="14"/>
      <c r="M4" s="14"/>
      <c r="O4" s="15"/>
      <c r="P4" s="15"/>
      <c r="Q4" s="13">
        <v>3</v>
      </c>
      <c r="R4" s="12">
        <v>0.72699999999999998</v>
      </c>
      <c r="S4" s="14"/>
      <c r="T4" s="14"/>
    </row>
    <row r="5" spans="1:20" ht="15" customHeight="1" x14ac:dyDescent="0.3">
      <c r="A5" s="15"/>
      <c r="B5" s="15"/>
      <c r="C5" s="13">
        <v>4</v>
      </c>
      <c r="D5" s="12">
        <v>5.5940000000000003</v>
      </c>
      <c r="E5" s="14"/>
      <c r="F5" s="14"/>
      <c r="H5" s="15"/>
      <c r="I5" s="15"/>
      <c r="J5" s="13">
        <v>4</v>
      </c>
      <c r="K5" s="12">
        <v>4.7350000000000003</v>
      </c>
      <c r="L5" s="14"/>
      <c r="M5" s="14"/>
      <c r="O5" s="15"/>
      <c r="P5" s="15"/>
      <c r="Q5" s="13">
        <v>4</v>
      </c>
      <c r="R5" s="12">
        <v>0.68700000000000006</v>
      </c>
      <c r="S5" s="14"/>
      <c r="T5" s="14"/>
    </row>
    <row r="6" spans="1:20" ht="15" customHeight="1" x14ac:dyDescent="0.3">
      <c r="A6" s="15"/>
      <c r="B6" s="15"/>
      <c r="C6" s="13">
        <v>5</v>
      </c>
      <c r="D6" s="12">
        <v>5.6</v>
      </c>
      <c r="E6" s="14"/>
      <c r="F6" s="14"/>
      <c r="H6" s="15"/>
      <c r="I6" s="15"/>
      <c r="J6" s="13">
        <v>5</v>
      </c>
      <c r="K6" s="12">
        <v>4.8559999999999999</v>
      </c>
      <c r="L6" s="14"/>
      <c r="M6" s="14"/>
      <c r="O6" s="15"/>
      <c r="P6" s="15"/>
      <c r="Q6" s="13">
        <v>5</v>
      </c>
      <c r="R6" s="12">
        <v>0.57399999999999995</v>
      </c>
      <c r="S6" s="14"/>
      <c r="T6" s="14"/>
    </row>
    <row r="7" spans="1:20" ht="15" customHeight="1" x14ac:dyDescent="0.3">
      <c r="A7" s="15"/>
      <c r="B7" s="15"/>
      <c r="C7" s="13">
        <v>6</v>
      </c>
      <c r="D7" s="12">
        <v>5.3319999999999999</v>
      </c>
      <c r="E7" s="14"/>
      <c r="F7" s="14"/>
      <c r="H7" s="15"/>
      <c r="I7" s="15"/>
      <c r="J7" s="13">
        <v>6</v>
      </c>
      <c r="K7" s="12">
        <v>4.9279999999999999</v>
      </c>
      <c r="L7" s="14"/>
      <c r="M7" s="14"/>
      <c r="O7" s="15"/>
      <c r="P7" s="15"/>
      <c r="Q7" s="13">
        <v>6</v>
      </c>
      <c r="R7" s="12">
        <v>0.221</v>
      </c>
      <c r="S7" s="14"/>
      <c r="T7" s="14"/>
    </row>
    <row r="8" spans="1:20" ht="15" customHeight="1" x14ac:dyDescent="0.3">
      <c r="A8" s="15"/>
      <c r="B8" s="15"/>
      <c r="C8" s="13">
        <v>7</v>
      </c>
      <c r="D8" s="12">
        <v>5.2869999999999999</v>
      </c>
      <c r="E8" s="14"/>
      <c r="F8" s="14"/>
      <c r="H8" s="15"/>
      <c r="I8" s="15"/>
      <c r="J8" s="13">
        <v>7</v>
      </c>
      <c r="K8" s="12">
        <v>4.8070000000000004</v>
      </c>
      <c r="L8" s="14"/>
      <c r="M8" s="14"/>
      <c r="O8" s="15"/>
      <c r="P8" s="15"/>
      <c r="Q8" s="13">
        <v>7</v>
      </c>
      <c r="R8" s="12">
        <v>0.55400000000000005</v>
      </c>
      <c r="S8" s="14"/>
      <c r="T8" s="14"/>
    </row>
    <row r="9" spans="1:20" ht="15" customHeight="1" x14ac:dyDescent="0.3">
      <c r="A9" s="15"/>
      <c r="B9" s="15"/>
      <c r="C9" s="13">
        <v>8</v>
      </c>
      <c r="D9" s="12">
        <v>5.8680000000000003</v>
      </c>
      <c r="E9" s="14"/>
      <c r="F9" s="14"/>
      <c r="H9" s="15"/>
      <c r="I9" s="15"/>
      <c r="J9" s="13">
        <v>8</v>
      </c>
      <c r="K9" s="12">
        <v>4.7220000000000004</v>
      </c>
      <c r="L9" s="14"/>
      <c r="M9" s="14"/>
      <c r="O9" s="15"/>
      <c r="P9" s="15"/>
      <c r="Q9" s="13">
        <v>8</v>
      </c>
      <c r="R9" s="12">
        <v>0.67900000000000005</v>
      </c>
      <c r="S9" s="14"/>
      <c r="T9" s="14"/>
    </row>
    <row r="10" spans="1:20" ht="15" customHeight="1" x14ac:dyDescent="0.3">
      <c r="A10" s="15"/>
      <c r="B10" s="15"/>
      <c r="C10" s="13">
        <v>9</v>
      </c>
      <c r="D10" s="12">
        <v>6.0140000000000002</v>
      </c>
      <c r="E10" s="14"/>
      <c r="F10" s="14"/>
      <c r="H10" s="15"/>
      <c r="I10" s="15"/>
      <c r="J10" s="13">
        <v>9</v>
      </c>
      <c r="K10" s="12">
        <v>4.782</v>
      </c>
      <c r="L10" s="14"/>
      <c r="M10" s="14"/>
      <c r="O10" s="15"/>
      <c r="P10" s="15"/>
      <c r="Q10" s="13">
        <v>9</v>
      </c>
      <c r="R10" s="12">
        <v>0.66400000000000003</v>
      </c>
      <c r="S10" s="14"/>
      <c r="T10" s="14"/>
    </row>
    <row r="11" spans="1:20" ht="15" customHeight="1" x14ac:dyDescent="0.3">
      <c r="A11" s="15"/>
      <c r="B11" s="15"/>
      <c r="C11" s="13">
        <v>10</v>
      </c>
      <c r="D11" s="12">
        <v>5.952</v>
      </c>
      <c r="E11" s="14"/>
      <c r="F11" s="14"/>
      <c r="H11" s="15"/>
      <c r="I11" s="15"/>
      <c r="J11" s="13">
        <v>10</v>
      </c>
      <c r="K11" s="12">
        <v>4.9089999999999998</v>
      </c>
      <c r="L11" s="14"/>
      <c r="M11" s="14"/>
      <c r="O11" s="15"/>
      <c r="P11" s="15"/>
      <c r="Q11" s="13">
        <v>10</v>
      </c>
      <c r="R11" s="12">
        <v>0.78500000000000003</v>
      </c>
      <c r="S11" s="14"/>
      <c r="T11" s="14"/>
    </row>
    <row r="12" spans="1:20" ht="15" customHeight="1" x14ac:dyDescent="0.3">
      <c r="A12" s="15"/>
      <c r="B12" s="15"/>
      <c r="C12" s="13">
        <v>11</v>
      </c>
      <c r="D12" s="12">
        <v>5.516</v>
      </c>
      <c r="E12" s="14"/>
      <c r="F12" s="14"/>
      <c r="H12" s="15"/>
      <c r="I12" s="15"/>
      <c r="J12" s="13">
        <v>11</v>
      </c>
      <c r="K12" s="12">
        <v>4.782</v>
      </c>
      <c r="L12" s="14"/>
      <c r="M12" s="14"/>
      <c r="O12" s="15"/>
      <c r="P12" s="15"/>
      <c r="Q12" s="13">
        <v>11</v>
      </c>
      <c r="R12" s="12">
        <v>0.76600000000000001</v>
      </c>
      <c r="S12" s="14"/>
      <c r="T12" s="14"/>
    </row>
    <row r="13" spans="1:20" ht="15" customHeight="1" x14ac:dyDescent="0.3">
      <c r="A13" s="15"/>
      <c r="B13" s="15"/>
      <c r="C13" s="13">
        <v>12</v>
      </c>
      <c r="D13" s="12">
        <v>5.4779999999999998</v>
      </c>
      <c r="E13" s="14"/>
      <c r="F13" s="14"/>
      <c r="H13" s="15"/>
      <c r="I13" s="15"/>
      <c r="J13" s="13">
        <v>12</v>
      </c>
      <c r="K13" s="12">
        <v>5.016</v>
      </c>
      <c r="L13" s="14"/>
      <c r="M13" s="14"/>
      <c r="O13" s="15"/>
      <c r="P13" s="15"/>
      <c r="Q13" s="13">
        <v>12</v>
      </c>
      <c r="R13" s="12">
        <v>0.69599999999999995</v>
      </c>
      <c r="S13" s="14"/>
      <c r="T13" s="14"/>
    </row>
    <row r="14" spans="1:20" ht="15" customHeight="1" x14ac:dyDescent="0.3">
      <c r="A14" s="15"/>
      <c r="B14" s="15"/>
      <c r="C14" s="13">
        <v>13</v>
      </c>
      <c r="D14" s="12">
        <v>5.7839999999999998</v>
      </c>
      <c r="E14" s="14"/>
      <c r="F14" s="14"/>
      <c r="H14" s="15"/>
      <c r="I14" s="15"/>
      <c r="J14" s="13">
        <v>13</v>
      </c>
      <c r="K14" s="12">
        <v>4.8310000000000004</v>
      </c>
      <c r="L14" s="14"/>
      <c r="M14" s="14"/>
      <c r="O14" s="15"/>
      <c r="P14" s="15"/>
      <c r="Q14" s="13">
        <v>13</v>
      </c>
      <c r="R14" s="12">
        <v>0.63600000000000001</v>
      </c>
      <c r="S14" s="14"/>
      <c r="T14" s="14"/>
    </row>
    <row r="15" spans="1:20" ht="15" customHeight="1" x14ac:dyDescent="0.3">
      <c r="A15" s="15"/>
      <c r="B15" s="15"/>
      <c r="C15" s="13">
        <v>14</v>
      </c>
      <c r="D15" s="12">
        <v>5.93</v>
      </c>
      <c r="E15" s="14"/>
      <c r="F15" s="14"/>
      <c r="H15" s="15"/>
      <c r="I15" s="15"/>
      <c r="J15" s="13">
        <v>14</v>
      </c>
      <c r="K15" s="12">
        <v>4.8789999999999996</v>
      </c>
      <c r="L15" s="14"/>
      <c r="M15" s="14"/>
      <c r="O15" s="15"/>
      <c r="P15" s="15"/>
      <c r="Q15" s="13">
        <v>14</v>
      </c>
      <c r="R15" s="12">
        <v>0.59299999999999997</v>
      </c>
      <c r="S15" s="14"/>
      <c r="T15" s="14"/>
    </row>
    <row r="16" spans="1:20" ht="15" customHeight="1" x14ac:dyDescent="0.3">
      <c r="A16" s="15"/>
      <c r="B16" s="15"/>
      <c r="C16" s="13">
        <v>15</v>
      </c>
      <c r="D16" s="12">
        <v>5.6139999999999999</v>
      </c>
      <c r="E16" s="14"/>
      <c r="F16" s="14"/>
      <c r="H16" s="15"/>
      <c r="I16" s="15"/>
      <c r="J16" s="13">
        <v>15</v>
      </c>
      <c r="K16" s="12">
        <v>4.7830000000000004</v>
      </c>
      <c r="L16" s="14"/>
      <c r="M16" s="14"/>
      <c r="O16" s="15"/>
      <c r="P16" s="15"/>
      <c r="Q16" s="13">
        <v>15</v>
      </c>
      <c r="R16" s="12">
        <v>0.73199999999999998</v>
      </c>
      <c r="S16" s="14"/>
      <c r="T16" s="14"/>
    </row>
    <row r="18" spans="1:20" ht="15" customHeight="1" x14ac:dyDescent="0.3">
      <c r="A18" s="11" t="s">
        <v>62</v>
      </c>
      <c r="B18" s="11" t="s">
        <v>63</v>
      </c>
      <c r="C18" s="11" t="s">
        <v>64</v>
      </c>
      <c r="D18" s="11" t="s">
        <v>65</v>
      </c>
      <c r="E18" s="11" t="s">
        <v>66</v>
      </c>
      <c r="F18" s="11" t="s">
        <v>67</v>
      </c>
      <c r="H18" s="11" t="s">
        <v>62</v>
      </c>
      <c r="I18" s="11" t="s">
        <v>63</v>
      </c>
      <c r="J18" s="11" t="s">
        <v>64</v>
      </c>
      <c r="K18" s="11" t="s">
        <v>65</v>
      </c>
      <c r="L18" s="11" t="s">
        <v>66</v>
      </c>
      <c r="M18" s="11" t="s">
        <v>67</v>
      </c>
      <c r="O18" s="11" t="s">
        <v>62</v>
      </c>
      <c r="P18" s="11" t="s">
        <v>63</v>
      </c>
      <c r="Q18" s="11" t="s">
        <v>64</v>
      </c>
      <c r="R18" s="11" t="s">
        <v>65</v>
      </c>
      <c r="S18" s="11" t="s">
        <v>66</v>
      </c>
      <c r="T18" s="11" t="s">
        <v>67</v>
      </c>
    </row>
    <row r="19" spans="1:20" ht="15" customHeight="1" x14ac:dyDescent="0.3">
      <c r="A19" s="15">
        <v>3.8</v>
      </c>
      <c r="B19" s="15">
        <v>3.2</v>
      </c>
      <c r="C19" s="13">
        <v>1</v>
      </c>
      <c r="D19" s="12">
        <v>0.51300000000000001</v>
      </c>
      <c r="E19" s="14">
        <f>AVERAGE(D19:D33)</f>
        <v>0.57940000000000003</v>
      </c>
      <c r="F19" s="14">
        <f>_xlfn.VAR.S(D19:D33)</f>
        <v>5.0478828571428637E-2</v>
      </c>
      <c r="H19" s="15">
        <v>5.4</v>
      </c>
      <c r="I19" s="15">
        <v>2.8</v>
      </c>
      <c r="J19" s="13">
        <v>1</v>
      </c>
      <c r="K19" s="12">
        <v>3.4000000000000002E-2</v>
      </c>
      <c r="L19" s="14">
        <f>AVERAGE(K19:K33)</f>
        <v>6.7133333333333337E-2</v>
      </c>
      <c r="M19" s="14">
        <f>_xlfn.VAR.S(K19:K33)</f>
        <v>2.6061238095238088E-3</v>
      </c>
      <c r="O19" s="15">
        <v>5</v>
      </c>
      <c r="P19" s="15">
        <v>1.2</v>
      </c>
      <c r="Q19" s="13">
        <v>1</v>
      </c>
      <c r="R19" s="12">
        <v>0.34599999999999997</v>
      </c>
      <c r="S19" s="14">
        <f>AVERAGE(R19:R33)</f>
        <v>0.34899999999999998</v>
      </c>
      <c r="T19" s="14">
        <f>_xlfn.VAR.S(R19:R33)</f>
        <v>3.3689428571428599E-2</v>
      </c>
    </row>
    <row r="20" spans="1:20" ht="15" customHeight="1" x14ac:dyDescent="0.3">
      <c r="A20" s="15"/>
      <c r="B20" s="15"/>
      <c r="C20" s="13">
        <v>2</v>
      </c>
      <c r="D20" s="12">
        <v>0.61899999999999999</v>
      </c>
      <c r="E20" s="14"/>
      <c r="F20" s="14"/>
      <c r="H20" s="15"/>
      <c r="I20" s="15"/>
      <c r="J20" s="13">
        <v>2</v>
      </c>
      <c r="K20" s="12">
        <v>0</v>
      </c>
      <c r="L20" s="14"/>
      <c r="M20" s="14"/>
      <c r="O20" s="15"/>
      <c r="P20" s="15"/>
      <c r="Q20" s="13">
        <v>2</v>
      </c>
      <c r="R20" s="12">
        <v>0.55400000000000005</v>
      </c>
      <c r="S20" s="14"/>
      <c r="T20" s="14"/>
    </row>
    <row r="21" spans="1:20" ht="15" customHeight="1" x14ac:dyDescent="0.3">
      <c r="A21" s="15"/>
      <c r="B21" s="15"/>
      <c r="C21" s="13">
        <v>3</v>
      </c>
      <c r="D21" s="12">
        <v>0.36599999999999999</v>
      </c>
      <c r="E21" s="14"/>
      <c r="F21" s="14"/>
      <c r="H21" s="15"/>
      <c r="I21" s="15"/>
      <c r="J21" s="13">
        <v>3</v>
      </c>
      <c r="K21" s="12">
        <v>4.2000000000000003E-2</v>
      </c>
      <c r="L21" s="14"/>
      <c r="M21" s="14"/>
      <c r="O21" s="15"/>
      <c r="P21" s="15"/>
      <c r="Q21" s="13">
        <v>3</v>
      </c>
      <c r="R21" s="12">
        <v>0.52400000000000002</v>
      </c>
      <c r="S21" s="14"/>
      <c r="T21" s="14"/>
    </row>
    <row r="22" spans="1:20" ht="15" customHeight="1" x14ac:dyDescent="0.3">
      <c r="A22" s="15"/>
      <c r="B22" s="15"/>
      <c r="C22" s="13">
        <v>4</v>
      </c>
      <c r="D22" s="12">
        <v>0.16600000000000001</v>
      </c>
      <c r="E22" s="14"/>
      <c r="F22" s="14"/>
      <c r="H22" s="15"/>
      <c r="I22" s="15"/>
      <c r="J22" s="13">
        <v>4</v>
      </c>
      <c r="K22" s="12">
        <v>0.159</v>
      </c>
      <c r="L22" s="14"/>
      <c r="M22" s="14"/>
      <c r="O22" s="15"/>
      <c r="P22" s="15"/>
      <c r="Q22" s="13">
        <v>4</v>
      </c>
      <c r="R22" s="12">
        <v>0.40799999999999997</v>
      </c>
      <c r="S22" s="14"/>
      <c r="T22" s="14"/>
    </row>
    <row r="23" spans="1:20" ht="15" customHeight="1" x14ac:dyDescent="0.3">
      <c r="A23" s="15"/>
      <c r="B23" s="15"/>
      <c r="C23" s="13">
        <v>5</v>
      </c>
      <c r="D23" s="12">
        <v>0.22</v>
      </c>
      <c r="E23" s="14"/>
      <c r="F23" s="14"/>
      <c r="H23" s="15"/>
      <c r="I23" s="15"/>
      <c r="J23" s="13">
        <v>5</v>
      </c>
      <c r="K23" s="12">
        <v>7.5999999999999998E-2</v>
      </c>
      <c r="L23" s="14"/>
      <c r="M23" s="14"/>
      <c r="O23" s="15"/>
      <c r="P23" s="15"/>
      <c r="Q23" s="13">
        <v>5</v>
      </c>
      <c r="R23" s="12">
        <v>0.40600000000000003</v>
      </c>
      <c r="S23" s="14"/>
      <c r="T23" s="14"/>
    </row>
    <row r="24" spans="1:20" ht="15" customHeight="1" x14ac:dyDescent="0.3">
      <c r="A24" s="15"/>
      <c r="B24" s="15"/>
      <c r="C24" s="13">
        <v>6</v>
      </c>
      <c r="D24" s="12">
        <v>0.75</v>
      </c>
      <c r="E24" s="14"/>
      <c r="F24" s="14"/>
      <c r="H24" s="15"/>
      <c r="I24" s="15"/>
      <c r="J24" s="13">
        <v>6</v>
      </c>
      <c r="K24" s="12">
        <v>2.5000000000000001E-2</v>
      </c>
      <c r="L24" s="14"/>
      <c r="M24" s="14"/>
      <c r="O24" s="15"/>
      <c r="P24" s="15"/>
      <c r="Q24" s="13">
        <v>6</v>
      </c>
      <c r="R24" s="12">
        <v>0.53300000000000003</v>
      </c>
      <c r="S24" s="14"/>
      <c r="T24" s="14"/>
    </row>
    <row r="25" spans="1:20" ht="15" customHeight="1" x14ac:dyDescent="0.3">
      <c r="A25" s="15"/>
      <c r="B25" s="15"/>
      <c r="C25" s="13">
        <v>7</v>
      </c>
      <c r="D25" s="12">
        <v>0.72</v>
      </c>
      <c r="E25" s="14"/>
      <c r="F25" s="14"/>
      <c r="H25" s="15"/>
      <c r="I25" s="15"/>
      <c r="J25" s="13">
        <v>7</v>
      </c>
      <c r="K25" s="12">
        <v>7.5999999999999998E-2</v>
      </c>
      <c r="L25" s="14"/>
      <c r="M25" s="14"/>
      <c r="O25" s="15"/>
      <c r="P25" s="15"/>
      <c r="Q25" s="13">
        <v>7</v>
      </c>
      <c r="R25" s="12">
        <v>0.44</v>
      </c>
      <c r="S25" s="14"/>
      <c r="T25" s="14"/>
    </row>
    <row r="26" spans="1:20" ht="15" customHeight="1" x14ac:dyDescent="0.3">
      <c r="A26" s="15"/>
      <c r="B26" s="15"/>
      <c r="C26" s="13">
        <v>8</v>
      </c>
      <c r="D26" s="12">
        <v>0.78500000000000003</v>
      </c>
      <c r="E26" s="14"/>
      <c r="F26" s="14"/>
      <c r="H26" s="15"/>
      <c r="I26" s="15"/>
      <c r="J26" s="13">
        <v>8</v>
      </c>
      <c r="K26" s="12">
        <v>0.10199999999999999</v>
      </c>
      <c r="L26" s="14"/>
      <c r="M26" s="14"/>
      <c r="O26" s="15"/>
      <c r="P26" s="15"/>
      <c r="Q26" s="13">
        <v>8</v>
      </c>
      <c r="R26" s="12">
        <v>0.44400000000000001</v>
      </c>
      <c r="S26" s="14"/>
      <c r="T26" s="14"/>
    </row>
    <row r="27" spans="1:20" ht="15" customHeight="1" x14ac:dyDescent="0.3">
      <c r="A27" s="15"/>
      <c r="B27" s="15"/>
      <c r="C27" s="13">
        <v>9</v>
      </c>
      <c r="D27" s="12">
        <v>0.879</v>
      </c>
      <c r="E27" s="14"/>
      <c r="F27" s="14"/>
      <c r="H27" s="15"/>
      <c r="I27" s="15"/>
      <c r="J27" s="13">
        <v>9</v>
      </c>
      <c r="K27" s="12">
        <v>0</v>
      </c>
      <c r="L27" s="14"/>
      <c r="M27" s="14"/>
      <c r="O27" s="15"/>
      <c r="P27" s="15"/>
      <c r="Q27" s="13">
        <v>9</v>
      </c>
      <c r="R27" s="12">
        <v>8.2000000000000003E-2</v>
      </c>
      <c r="S27" s="14"/>
      <c r="T27" s="14"/>
    </row>
    <row r="28" spans="1:20" ht="15" customHeight="1" x14ac:dyDescent="0.3">
      <c r="A28" s="15"/>
      <c r="B28" s="15"/>
      <c r="C28" s="13">
        <v>10</v>
      </c>
      <c r="D28" s="12">
        <v>0.86199999999999999</v>
      </c>
      <c r="E28" s="14"/>
      <c r="F28" s="14"/>
      <c r="H28" s="15"/>
      <c r="I28" s="15"/>
      <c r="J28" s="13">
        <v>10</v>
      </c>
      <c r="K28" s="12">
        <v>4.3999999999999997E-2</v>
      </c>
      <c r="L28" s="14"/>
      <c r="M28" s="14"/>
      <c r="O28" s="15"/>
      <c r="P28" s="15"/>
      <c r="Q28" s="13">
        <v>10</v>
      </c>
      <c r="R28" s="12">
        <v>0</v>
      </c>
      <c r="S28" s="14"/>
      <c r="T28" s="14"/>
    </row>
    <row r="29" spans="1:20" ht="15" customHeight="1" x14ac:dyDescent="0.3">
      <c r="A29" s="15"/>
      <c r="B29" s="15"/>
      <c r="C29" s="13">
        <v>11</v>
      </c>
      <c r="D29" s="12">
        <v>0.74399999999999999</v>
      </c>
      <c r="E29" s="14"/>
      <c r="F29" s="14"/>
      <c r="H29" s="15"/>
      <c r="I29" s="15"/>
      <c r="J29" s="13">
        <v>11</v>
      </c>
      <c r="K29" s="12">
        <v>0.13200000000000001</v>
      </c>
      <c r="L29" s="14"/>
      <c r="M29" s="14"/>
      <c r="O29" s="15"/>
      <c r="P29" s="15"/>
      <c r="Q29" s="13">
        <v>11</v>
      </c>
      <c r="R29" s="12">
        <v>0.154</v>
      </c>
      <c r="S29" s="14"/>
      <c r="T29" s="14"/>
    </row>
    <row r="30" spans="1:20" ht="15" customHeight="1" x14ac:dyDescent="0.3">
      <c r="A30" s="15"/>
      <c r="B30" s="15"/>
      <c r="C30" s="13">
        <v>12</v>
      </c>
      <c r="D30" s="12">
        <v>0.67500000000000004</v>
      </c>
      <c r="E30" s="14"/>
      <c r="F30" s="14"/>
      <c r="H30" s="15"/>
      <c r="I30" s="15"/>
      <c r="J30" s="13">
        <v>12</v>
      </c>
      <c r="K30" s="12">
        <v>3.1E-2</v>
      </c>
      <c r="L30" s="14"/>
      <c r="M30" s="14"/>
      <c r="O30" s="15"/>
      <c r="P30" s="15"/>
      <c r="Q30" s="13">
        <v>12</v>
      </c>
      <c r="R30" s="12">
        <v>6.2E-2</v>
      </c>
      <c r="S30" s="14"/>
      <c r="T30" s="14"/>
    </row>
    <row r="31" spans="1:20" ht="15" customHeight="1" x14ac:dyDescent="0.3">
      <c r="A31" s="15"/>
      <c r="B31" s="15"/>
      <c r="C31" s="13">
        <v>13</v>
      </c>
      <c r="D31" s="12">
        <v>0.35399999999999998</v>
      </c>
      <c r="E31" s="14"/>
      <c r="F31" s="14"/>
      <c r="H31" s="15"/>
      <c r="I31" s="15"/>
      <c r="J31" s="13">
        <v>13</v>
      </c>
      <c r="K31" s="12">
        <v>5.5E-2</v>
      </c>
      <c r="L31" s="14"/>
      <c r="M31" s="14"/>
      <c r="O31" s="15"/>
      <c r="P31" s="15"/>
      <c r="Q31" s="13">
        <v>13</v>
      </c>
      <c r="R31" s="12">
        <v>0.375</v>
      </c>
      <c r="S31" s="14"/>
      <c r="T31" s="14"/>
    </row>
    <row r="32" spans="1:20" ht="15" customHeight="1" x14ac:dyDescent="0.3">
      <c r="A32" s="15"/>
      <c r="B32" s="15"/>
      <c r="C32" s="13">
        <v>14</v>
      </c>
      <c r="D32" s="12">
        <v>0.52200000000000002</v>
      </c>
      <c r="E32" s="14"/>
      <c r="F32" s="14"/>
      <c r="H32" s="15"/>
      <c r="I32" s="15"/>
      <c r="J32" s="13">
        <v>14</v>
      </c>
      <c r="K32" s="12">
        <v>0.156</v>
      </c>
      <c r="L32" s="14"/>
      <c r="M32" s="14"/>
      <c r="O32" s="15"/>
      <c r="P32" s="15"/>
      <c r="Q32" s="13">
        <v>14</v>
      </c>
      <c r="R32" s="12">
        <v>0.40300000000000002</v>
      </c>
      <c r="S32" s="14"/>
      <c r="T32" s="14"/>
    </row>
    <row r="33" spans="1:20" ht="15" customHeight="1" x14ac:dyDescent="0.3">
      <c r="A33" s="15"/>
      <c r="B33" s="15"/>
      <c r="C33" s="13">
        <v>15</v>
      </c>
      <c r="D33" s="12">
        <v>0.51600000000000001</v>
      </c>
      <c r="E33" s="14"/>
      <c r="F33" s="14"/>
      <c r="H33" s="15"/>
      <c r="I33" s="15"/>
      <c r="J33" s="13">
        <v>15</v>
      </c>
      <c r="K33" s="12">
        <v>7.4999999999999997E-2</v>
      </c>
      <c r="L33" s="14"/>
      <c r="M33" s="14"/>
      <c r="O33" s="15"/>
      <c r="P33" s="15"/>
      <c r="Q33" s="13">
        <v>15</v>
      </c>
      <c r="R33" s="12">
        <v>0.504</v>
      </c>
      <c r="S33" s="14"/>
      <c r="T33" s="14"/>
    </row>
  </sheetData>
  <mergeCells count="24">
    <mergeCell ref="O19:O33"/>
    <mergeCell ref="P19:P33"/>
    <mergeCell ref="S19:S33"/>
    <mergeCell ref="T19:T33"/>
    <mergeCell ref="A19:A33"/>
    <mergeCell ref="B19:B33"/>
    <mergeCell ref="E19:E33"/>
    <mergeCell ref="F19:F33"/>
    <mergeCell ref="H19:H33"/>
    <mergeCell ref="I19:I33"/>
    <mergeCell ref="L19:L33"/>
    <mergeCell ref="M19:M33"/>
    <mergeCell ref="A2:A16"/>
    <mergeCell ref="B2:B16"/>
    <mergeCell ref="E2:E16"/>
    <mergeCell ref="F2:F16"/>
    <mergeCell ref="O2:O16"/>
    <mergeCell ref="P2:P16"/>
    <mergeCell ref="S2:S16"/>
    <mergeCell ref="T2:T16"/>
    <mergeCell ref="H2:H16"/>
    <mergeCell ref="I2:I16"/>
    <mergeCell ref="L2:L16"/>
    <mergeCell ref="M2:M16"/>
  </mergeCells>
  <phoneticPr fontId="1" type="noConversion"/>
  <conditionalFormatting sqref="D2:D1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D3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1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4D981-1D19-4CA6-ACC1-BD337674EF6F}">
  <dimension ref="A1:T35"/>
  <sheetViews>
    <sheetView zoomScale="70" zoomScaleNormal="70" workbookViewId="0">
      <selection sqref="A1:XFD1048576"/>
    </sheetView>
  </sheetViews>
  <sheetFormatPr defaultColWidth="10.75" defaultRowHeight="15" customHeight="1" x14ac:dyDescent="0.3"/>
  <cols>
    <col min="1" max="16384" width="10.75" style="10"/>
  </cols>
  <sheetData>
    <row r="1" spans="1:20" ht="15" customHeight="1" x14ac:dyDescent="0.3">
      <c r="A1" s="11" t="s">
        <v>62</v>
      </c>
      <c r="B1" s="11" t="s">
        <v>63</v>
      </c>
      <c r="C1" s="11" t="s">
        <v>64</v>
      </c>
      <c r="D1" s="11" t="s">
        <v>65</v>
      </c>
      <c r="E1" s="11" t="s">
        <v>66</v>
      </c>
      <c r="F1" s="11" t="s">
        <v>67</v>
      </c>
      <c r="H1" s="11" t="s">
        <v>62</v>
      </c>
      <c r="I1" s="11" t="s">
        <v>63</v>
      </c>
      <c r="J1" s="11" t="s">
        <v>64</v>
      </c>
      <c r="K1" s="11" t="s">
        <v>65</v>
      </c>
      <c r="L1" s="11" t="s">
        <v>66</v>
      </c>
      <c r="M1" s="11" t="s">
        <v>67</v>
      </c>
      <c r="O1" s="11" t="s">
        <v>62</v>
      </c>
      <c r="P1" s="11" t="s">
        <v>63</v>
      </c>
      <c r="Q1" s="11" t="s">
        <v>64</v>
      </c>
      <c r="R1" s="11" t="s">
        <v>65</v>
      </c>
      <c r="S1" s="11" t="s">
        <v>66</v>
      </c>
      <c r="T1" s="11" t="s">
        <v>67</v>
      </c>
    </row>
    <row r="2" spans="1:20" ht="15" customHeight="1" x14ac:dyDescent="0.3">
      <c r="A2" s="15">
        <v>4.5999999999999996</v>
      </c>
      <c r="B2" s="15">
        <v>2.4</v>
      </c>
      <c r="C2" s="13">
        <v>1</v>
      </c>
      <c r="D2" s="12">
        <v>4.2690000000000001</v>
      </c>
      <c r="E2" s="14">
        <f>AVERAGE(D2:D16)</f>
        <v>4.3736666666666677</v>
      </c>
      <c r="F2" s="14">
        <f>_xlfn.VAR.S(D2:D16)</f>
        <v>3.2799666666666678E-2</v>
      </c>
      <c r="H2" s="15">
        <v>3.8</v>
      </c>
      <c r="I2" s="15">
        <v>2.4</v>
      </c>
      <c r="J2" s="13">
        <v>1</v>
      </c>
      <c r="K2" s="12">
        <v>3.7130000000000001</v>
      </c>
      <c r="L2" s="14">
        <f>AVERAGE(K2:K16)</f>
        <v>3.876733333333334</v>
      </c>
      <c r="M2" s="14">
        <f>_xlfn.VAR.S(K2:K16)</f>
        <v>2.1622923809523818E-2</v>
      </c>
      <c r="O2" s="15">
        <v>4.2</v>
      </c>
      <c r="P2" s="15">
        <v>1.6</v>
      </c>
      <c r="Q2" s="13">
        <v>1</v>
      </c>
      <c r="R2" s="12">
        <v>0.45100000000000001</v>
      </c>
      <c r="S2" s="14">
        <f>AVERAGE(R2:R16)</f>
        <v>0.50340000000000007</v>
      </c>
      <c r="T2" s="14">
        <f>_xlfn.VAR.S(R2:R16)</f>
        <v>1.2964971428571368E-2</v>
      </c>
    </row>
    <row r="3" spans="1:20" ht="15" customHeight="1" x14ac:dyDescent="0.3">
      <c r="A3" s="15"/>
      <c r="B3" s="15"/>
      <c r="C3" s="13">
        <v>2</v>
      </c>
      <c r="D3" s="12">
        <v>4.3540000000000001</v>
      </c>
      <c r="E3" s="14"/>
      <c r="F3" s="14"/>
      <c r="H3" s="15"/>
      <c r="I3" s="15"/>
      <c r="J3" s="13">
        <v>2</v>
      </c>
      <c r="K3" s="12">
        <v>3.98</v>
      </c>
      <c r="L3" s="14"/>
      <c r="M3" s="14"/>
      <c r="O3" s="15"/>
      <c r="P3" s="15"/>
      <c r="Q3" s="13">
        <v>2</v>
      </c>
      <c r="R3" s="12">
        <v>0.68400000000000005</v>
      </c>
      <c r="S3" s="14"/>
      <c r="T3" s="14"/>
    </row>
    <row r="4" spans="1:20" ht="15" customHeight="1" x14ac:dyDescent="0.3">
      <c r="A4" s="15"/>
      <c r="B4" s="15"/>
      <c r="C4" s="13">
        <v>3</v>
      </c>
      <c r="D4" s="12">
        <v>4.3120000000000003</v>
      </c>
      <c r="E4" s="14"/>
      <c r="F4" s="14"/>
      <c r="H4" s="15"/>
      <c r="I4" s="15"/>
      <c r="J4" s="13">
        <v>3</v>
      </c>
      <c r="K4" s="12">
        <v>3.7549999999999999</v>
      </c>
      <c r="L4" s="14"/>
      <c r="M4" s="14"/>
      <c r="O4" s="15"/>
      <c r="P4" s="15"/>
      <c r="Q4" s="13">
        <v>3</v>
      </c>
      <c r="R4" s="12">
        <v>0.59099999999999997</v>
      </c>
      <c r="S4" s="14"/>
      <c r="T4" s="14"/>
    </row>
    <row r="5" spans="1:20" ht="15" customHeight="1" x14ac:dyDescent="0.3">
      <c r="A5" s="15"/>
      <c r="B5" s="15"/>
      <c r="C5" s="13">
        <v>4</v>
      </c>
      <c r="D5" s="12">
        <v>4.3890000000000002</v>
      </c>
      <c r="E5" s="14"/>
      <c r="F5" s="14"/>
      <c r="H5" s="15"/>
      <c r="I5" s="15"/>
      <c r="J5" s="13">
        <v>4</v>
      </c>
      <c r="K5" s="12">
        <v>3.7610000000000001</v>
      </c>
      <c r="L5" s="14"/>
      <c r="M5" s="14"/>
      <c r="O5" s="15"/>
      <c r="P5" s="15"/>
      <c r="Q5" s="13">
        <v>4</v>
      </c>
      <c r="R5" s="12">
        <v>0.48099999999999998</v>
      </c>
      <c r="S5" s="14"/>
      <c r="T5" s="14"/>
    </row>
    <row r="6" spans="1:20" ht="15" customHeight="1" x14ac:dyDescent="0.3">
      <c r="A6" s="15"/>
      <c r="B6" s="15"/>
      <c r="C6" s="13">
        <v>5</v>
      </c>
      <c r="D6" s="12">
        <v>4.4630000000000001</v>
      </c>
      <c r="E6" s="14"/>
      <c r="F6" s="14"/>
      <c r="H6" s="15"/>
      <c r="I6" s="15"/>
      <c r="J6" s="13">
        <v>5</v>
      </c>
      <c r="K6" s="12">
        <v>3.7679999999999998</v>
      </c>
      <c r="L6" s="14"/>
      <c r="M6" s="14"/>
      <c r="O6" s="15"/>
      <c r="P6" s="15"/>
      <c r="Q6" s="13">
        <v>5</v>
      </c>
      <c r="R6" s="12">
        <v>0.53400000000000003</v>
      </c>
      <c r="S6" s="14"/>
      <c r="T6" s="14"/>
    </row>
    <row r="7" spans="1:20" ht="15" customHeight="1" x14ac:dyDescent="0.3">
      <c r="A7" s="15"/>
      <c r="B7" s="15"/>
      <c r="C7" s="13">
        <v>6</v>
      </c>
      <c r="D7" s="12">
        <v>4.1310000000000002</v>
      </c>
      <c r="E7" s="14"/>
      <c r="F7" s="14"/>
      <c r="H7" s="15"/>
      <c r="I7" s="15"/>
      <c r="J7" s="13">
        <v>6</v>
      </c>
      <c r="K7" s="12">
        <v>3.8460000000000001</v>
      </c>
      <c r="L7" s="14"/>
      <c r="M7" s="14"/>
      <c r="O7" s="15"/>
      <c r="P7" s="15"/>
      <c r="Q7" s="13">
        <v>6</v>
      </c>
      <c r="R7" s="12">
        <v>0.31900000000000001</v>
      </c>
      <c r="S7" s="14"/>
      <c r="T7" s="14"/>
    </row>
    <row r="8" spans="1:20" ht="15" customHeight="1" x14ac:dyDescent="0.3">
      <c r="A8" s="15"/>
      <c r="B8" s="15"/>
      <c r="C8" s="13">
        <v>7</v>
      </c>
      <c r="D8" s="12">
        <v>4.6260000000000003</v>
      </c>
      <c r="E8" s="14"/>
      <c r="F8" s="14"/>
      <c r="H8" s="15"/>
      <c r="I8" s="15"/>
      <c r="J8" s="13">
        <v>7</v>
      </c>
      <c r="K8" s="12">
        <v>3.931</v>
      </c>
      <c r="L8" s="14"/>
      <c r="M8" s="14"/>
      <c r="O8" s="15"/>
      <c r="P8" s="15"/>
      <c r="Q8" s="13">
        <v>7</v>
      </c>
      <c r="R8" s="12">
        <v>0.35699999999999998</v>
      </c>
      <c r="S8" s="14"/>
      <c r="T8" s="14"/>
    </row>
    <row r="9" spans="1:20" ht="15" customHeight="1" x14ac:dyDescent="0.3">
      <c r="A9" s="15"/>
      <c r="B9" s="15"/>
      <c r="C9" s="13">
        <v>8</v>
      </c>
      <c r="D9" s="12">
        <v>4.7649999999999997</v>
      </c>
      <c r="E9" s="14"/>
      <c r="F9" s="14"/>
      <c r="H9" s="15"/>
      <c r="I9" s="15"/>
      <c r="J9" s="13">
        <v>8</v>
      </c>
      <c r="K9" s="12">
        <v>4.1420000000000003</v>
      </c>
      <c r="L9" s="14"/>
      <c r="M9" s="14"/>
      <c r="O9" s="15"/>
      <c r="P9" s="15"/>
      <c r="Q9" s="13">
        <v>8</v>
      </c>
      <c r="R9" s="12">
        <v>0.66400000000000003</v>
      </c>
      <c r="S9" s="14"/>
      <c r="T9" s="14"/>
    </row>
    <row r="10" spans="1:20" ht="15" customHeight="1" x14ac:dyDescent="0.3">
      <c r="A10" s="15"/>
      <c r="B10" s="15"/>
      <c r="C10" s="13">
        <v>9</v>
      </c>
      <c r="D10" s="12">
        <v>4.3179999999999996</v>
      </c>
      <c r="E10" s="14"/>
      <c r="F10" s="14"/>
      <c r="H10" s="15"/>
      <c r="I10" s="15"/>
      <c r="J10" s="13">
        <v>9</v>
      </c>
      <c r="K10" s="12">
        <v>3.8889999999999998</v>
      </c>
      <c r="L10" s="14"/>
      <c r="M10" s="14"/>
      <c r="O10" s="15"/>
      <c r="P10" s="15"/>
      <c r="Q10" s="13">
        <v>9</v>
      </c>
      <c r="R10" s="12">
        <v>0.42599999999999999</v>
      </c>
      <c r="S10" s="14"/>
      <c r="T10" s="14"/>
    </row>
    <row r="11" spans="1:20" ht="15" customHeight="1" x14ac:dyDescent="0.3">
      <c r="A11" s="15"/>
      <c r="B11" s="15"/>
      <c r="C11" s="13">
        <v>10</v>
      </c>
      <c r="D11" s="12">
        <v>4.282</v>
      </c>
      <c r="E11" s="14"/>
      <c r="F11" s="14"/>
      <c r="H11" s="15"/>
      <c r="I11" s="15"/>
      <c r="J11" s="13">
        <v>10</v>
      </c>
      <c r="K11" s="12">
        <v>4.1529999999999996</v>
      </c>
      <c r="L11" s="14"/>
      <c r="M11" s="14"/>
      <c r="O11" s="15"/>
      <c r="P11" s="15"/>
      <c r="Q11" s="13">
        <v>10</v>
      </c>
      <c r="R11" s="12">
        <v>0.65300000000000002</v>
      </c>
      <c r="S11" s="14"/>
      <c r="T11" s="14"/>
    </row>
    <row r="12" spans="1:20" ht="15" customHeight="1" x14ac:dyDescent="0.3">
      <c r="A12" s="15"/>
      <c r="B12" s="15"/>
      <c r="C12" s="13">
        <v>11</v>
      </c>
      <c r="D12" s="12">
        <v>4.3840000000000003</v>
      </c>
      <c r="E12" s="14"/>
      <c r="F12" s="14"/>
      <c r="H12" s="15"/>
      <c r="I12" s="15"/>
      <c r="J12" s="13">
        <v>11</v>
      </c>
      <c r="K12" s="12">
        <v>3.774</v>
      </c>
      <c r="L12" s="14"/>
      <c r="M12" s="14"/>
      <c r="O12" s="15"/>
      <c r="P12" s="15"/>
      <c r="Q12" s="13">
        <v>11</v>
      </c>
      <c r="R12" s="12">
        <v>0.39700000000000002</v>
      </c>
      <c r="S12" s="14"/>
      <c r="T12" s="14"/>
    </row>
    <row r="13" spans="1:20" ht="15" customHeight="1" x14ac:dyDescent="0.3">
      <c r="A13" s="15"/>
      <c r="B13" s="15"/>
      <c r="C13" s="13">
        <v>12</v>
      </c>
      <c r="D13" s="12">
        <v>4.4800000000000004</v>
      </c>
      <c r="E13" s="14"/>
      <c r="F13" s="14"/>
      <c r="H13" s="15"/>
      <c r="I13" s="15"/>
      <c r="J13" s="13">
        <v>12</v>
      </c>
      <c r="K13" s="12">
        <v>3.8340000000000001</v>
      </c>
      <c r="L13" s="14"/>
      <c r="M13" s="14"/>
      <c r="O13" s="15"/>
      <c r="P13" s="15"/>
      <c r="Q13" s="13">
        <v>12</v>
      </c>
      <c r="R13" s="12">
        <v>0.47399999999999998</v>
      </c>
      <c r="S13" s="14"/>
      <c r="T13" s="14"/>
    </row>
    <row r="14" spans="1:20" ht="15" customHeight="1" x14ac:dyDescent="0.3">
      <c r="A14" s="15"/>
      <c r="B14" s="15"/>
      <c r="C14" s="13">
        <v>13</v>
      </c>
      <c r="D14" s="12">
        <v>4.444</v>
      </c>
      <c r="E14" s="14"/>
      <c r="F14" s="14"/>
      <c r="H14" s="15"/>
      <c r="I14" s="15"/>
      <c r="J14" s="13">
        <v>13</v>
      </c>
      <c r="K14" s="12">
        <v>3.8889999999999998</v>
      </c>
      <c r="L14" s="14"/>
      <c r="M14" s="14"/>
      <c r="O14" s="15"/>
      <c r="P14" s="15"/>
      <c r="Q14" s="13">
        <v>13</v>
      </c>
      <c r="R14" s="12">
        <v>0.56000000000000005</v>
      </c>
      <c r="S14" s="14"/>
      <c r="T14" s="14"/>
    </row>
    <row r="15" spans="1:20" ht="15" customHeight="1" x14ac:dyDescent="0.3">
      <c r="A15" s="15"/>
      <c r="B15" s="15"/>
      <c r="C15" s="13">
        <v>14</v>
      </c>
      <c r="D15" s="12">
        <v>4.01</v>
      </c>
      <c r="E15" s="14"/>
      <c r="F15" s="14"/>
      <c r="H15" s="15"/>
      <c r="I15" s="15"/>
      <c r="J15" s="13">
        <v>14</v>
      </c>
      <c r="K15" s="12">
        <v>3.6829999999999998</v>
      </c>
      <c r="L15" s="14"/>
      <c r="M15" s="14"/>
      <c r="O15" s="15"/>
      <c r="P15" s="15"/>
      <c r="Q15" s="13">
        <v>14</v>
      </c>
      <c r="R15" s="12">
        <v>0.55400000000000005</v>
      </c>
      <c r="S15" s="14"/>
      <c r="T15" s="14"/>
    </row>
    <row r="16" spans="1:20" ht="15" customHeight="1" x14ac:dyDescent="0.3">
      <c r="A16" s="15"/>
      <c r="B16" s="15"/>
      <c r="C16" s="13">
        <v>15</v>
      </c>
      <c r="D16" s="12">
        <v>4.3780000000000001</v>
      </c>
      <c r="E16" s="14"/>
      <c r="F16" s="14"/>
      <c r="H16" s="15"/>
      <c r="I16" s="15"/>
      <c r="J16" s="13">
        <v>15</v>
      </c>
      <c r="K16" s="12">
        <v>4.0330000000000004</v>
      </c>
      <c r="L16" s="14"/>
      <c r="M16" s="14"/>
      <c r="O16" s="15"/>
      <c r="P16" s="15"/>
      <c r="Q16" s="13">
        <v>15</v>
      </c>
      <c r="R16" s="12">
        <v>0.40600000000000003</v>
      </c>
      <c r="S16" s="14"/>
      <c r="T16" s="14"/>
    </row>
    <row r="18" spans="1:20" ht="15" customHeight="1" x14ac:dyDescent="0.3">
      <c r="A18" s="11" t="s">
        <v>62</v>
      </c>
      <c r="B18" s="11" t="s">
        <v>63</v>
      </c>
      <c r="C18" s="11" t="s">
        <v>64</v>
      </c>
      <c r="D18" s="11" t="s">
        <v>65</v>
      </c>
      <c r="E18" s="11" t="s">
        <v>66</v>
      </c>
      <c r="F18" s="11" t="s">
        <v>67</v>
      </c>
      <c r="H18" s="11" t="s">
        <v>62</v>
      </c>
      <c r="I18" s="11" t="s">
        <v>63</v>
      </c>
      <c r="J18" s="11" t="s">
        <v>64</v>
      </c>
      <c r="K18" s="11" t="s">
        <v>65</v>
      </c>
      <c r="L18" s="11" t="s">
        <v>66</v>
      </c>
      <c r="M18" s="11" t="s">
        <v>67</v>
      </c>
      <c r="O18" s="11" t="s">
        <v>62</v>
      </c>
      <c r="P18" s="11" t="s">
        <v>63</v>
      </c>
      <c r="Q18" s="11" t="s">
        <v>64</v>
      </c>
      <c r="R18" s="11" t="s">
        <v>65</v>
      </c>
      <c r="S18" s="11" t="s">
        <v>66</v>
      </c>
      <c r="T18" s="11" t="s">
        <v>67</v>
      </c>
    </row>
    <row r="19" spans="1:20" ht="15" customHeight="1" x14ac:dyDescent="0.3">
      <c r="A19" s="15">
        <v>3.8</v>
      </c>
      <c r="B19" s="15">
        <v>3.2</v>
      </c>
      <c r="C19" s="13">
        <v>1</v>
      </c>
      <c r="D19" s="12">
        <v>0.38800000000000001</v>
      </c>
      <c r="E19" s="14">
        <f>AVERAGE(D19:D33)</f>
        <v>0.42046666666666677</v>
      </c>
      <c r="F19" s="14">
        <f>_xlfn.VAR.S(D19:D33)</f>
        <v>2.3288980952380949E-2</v>
      </c>
      <c r="H19" s="15">
        <v>5.4</v>
      </c>
      <c r="I19" s="15">
        <v>2.8</v>
      </c>
      <c r="J19" s="13">
        <v>1</v>
      </c>
      <c r="K19" s="12">
        <v>0</v>
      </c>
      <c r="L19" s="14">
        <f>AVERAGE(K19:K33)</f>
        <v>0.12626666666666667</v>
      </c>
      <c r="M19" s="14">
        <f>_xlfn.VAR.S(K19:K33)</f>
        <v>1.5942923809523807E-2</v>
      </c>
      <c r="O19" s="15">
        <v>5</v>
      </c>
      <c r="P19" s="15">
        <v>1.2</v>
      </c>
      <c r="Q19" s="13">
        <v>1</v>
      </c>
      <c r="R19" s="12">
        <v>6.7000000000000004E-2</v>
      </c>
      <c r="S19" s="14">
        <f>AVERAGE(R19:R33)</f>
        <v>0.15406666666666666</v>
      </c>
      <c r="T19" s="14">
        <f>_xlfn.VAR.S(R19:R33)</f>
        <v>1.4986209523809527E-2</v>
      </c>
    </row>
    <row r="20" spans="1:20" ht="15" customHeight="1" x14ac:dyDescent="0.3">
      <c r="A20" s="15"/>
      <c r="B20" s="15"/>
      <c r="C20" s="13">
        <v>2</v>
      </c>
      <c r="D20" s="12">
        <v>0.34</v>
      </c>
      <c r="E20" s="14"/>
      <c r="F20" s="14"/>
      <c r="H20" s="15"/>
      <c r="I20" s="15"/>
      <c r="J20" s="13">
        <v>2</v>
      </c>
      <c r="K20" s="12">
        <v>0.125</v>
      </c>
      <c r="L20" s="14"/>
      <c r="M20" s="14"/>
      <c r="O20" s="15"/>
      <c r="P20" s="15"/>
      <c r="Q20" s="13">
        <v>2</v>
      </c>
      <c r="R20" s="12">
        <v>4.3999999999999997E-2</v>
      </c>
      <c r="S20" s="14"/>
      <c r="T20" s="14"/>
    </row>
    <row r="21" spans="1:20" ht="15" customHeight="1" x14ac:dyDescent="0.3">
      <c r="A21" s="15"/>
      <c r="B21" s="15"/>
      <c r="C21" s="13">
        <v>3</v>
      </c>
      <c r="D21" s="12">
        <v>0.40300000000000002</v>
      </c>
      <c r="E21" s="14"/>
      <c r="F21" s="14"/>
      <c r="H21" s="15"/>
      <c r="I21" s="15"/>
      <c r="J21" s="13">
        <v>3</v>
      </c>
      <c r="K21" s="12">
        <v>0.13900000000000001</v>
      </c>
      <c r="L21" s="14"/>
      <c r="M21" s="14"/>
      <c r="O21" s="15"/>
      <c r="P21" s="15"/>
      <c r="Q21" s="13">
        <v>3</v>
      </c>
      <c r="R21" s="12">
        <v>0.25600000000000001</v>
      </c>
      <c r="S21" s="14"/>
      <c r="T21" s="14"/>
    </row>
    <row r="22" spans="1:20" ht="15" customHeight="1" x14ac:dyDescent="0.3">
      <c r="A22" s="15"/>
      <c r="B22" s="15"/>
      <c r="C22" s="13">
        <v>4</v>
      </c>
      <c r="D22" s="12">
        <v>0.36</v>
      </c>
      <c r="E22" s="14"/>
      <c r="F22" s="14"/>
      <c r="H22" s="15"/>
      <c r="I22" s="15"/>
      <c r="J22" s="13">
        <v>4</v>
      </c>
      <c r="K22" s="12">
        <v>3.5999999999999997E-2</v>
      </c>
      <c r="L22" s="14"/>
      <c r="M22" s="14"/>
      <c r="O22" s="15"/>
      <c r="P22" s="15"/>
      <c r="Q22" s="13">
        <v>4</v>
      </c>
      <c r="R22" s="12">
        <v>0.317</v>
      </c>
      <c r="S22" s="14"/>
      <c r="T22" s="14"/>
    </row>
    <row r="23" spans="1:20" ht="15" customHeight="1" x14ac:dyDescent="0.3">
      <c r="A23" s="15"/>
      <c r="B23" s="15"/>
      <c r="C23" s="13">
        <v>5</v>
      </c>
      <c r="D23" s="12">
        <v>0.17399999999999999</v>
      </c>
      <c r="E23" s="14"/>
      <c r="F23" s="14"/>
      <c r="H23" s="15"/>
      <c r="I23" s="15"/>
      <c r="J23" s="13">
        <v>5</v>
      </c>
      <c r="K23" s="12">
        <v>0</v>
      </c>
      <c r="L23" s="14"/>
      <c r="M23" s="14"/>
      <c r="O23" s="15"/>
      <c r="P23" s="15"/>
      <c r="Q23" s="13">
        <v>5</v>
      </c>
      <c r="R23" s="12">
        <v>0.20100000000000001</v>
      </c>
      <c r="S23" s="14"/>
      <c r="T23" s="14"/>
    </row>
    <row r="24" spans="1:20" ht="15" customHeight="1" x14ac:dyDescent="0.3">
      <c r="A24" s="15"/>
      <c r="B24" s="15"/>
      <c r="C24" s="13">
        <v>6</v>
      </c>
      <c r="D24" s="12">
        <v>0.53900000000000003</v>
      </c>
      <c r="E24" s="14"/>
      <c r="F24" s="14"/>
      <c r="H24" s="15"/>
      <c r="I24" s="15"/>
      <c r="J24" s="13">
        <v>6</v>
      </c>
      <c r="K24" s="12">
        <v>1E-3</v>
      </c>
      <c r="L24" s="14"/>
      <c r="M24" s="14"/>
      <c r="O24" s="15"/>
      <c r="P24" s="15"/>
      <c r="Q24" s="13">
        <v>6</v>
      </c>
      <c r="R24" s="12">
        <v>0.09</v>
      </c>
      <c r="S24" s="14"/>
      <c r="T24" s="14"/>
    </row>
    <row r="25" spans="1:20" ht="15" customHeight="1" x14ac:dyDescent="0.3">
      <c r="A25" s="15"/>
      <c r="B25" s="15"/>
      <c r="C25" s="13">
        <v>7</v>
      </c>
      <c r="D25" s="12">
        <v>0.66100000000000003</v>
      </c>
      <c r="E25" s="14"/>
      <c r="F25" s="14"/>
      <c r="H25" s="15"/>
      <c r="I25" s="15"/>
      <c r="J25" s="13">
        <v>7</v>
      </c>
      <c r="K25" s="12">
        <v>0</v>
      </c>
      <c r="L25" s="14"/>
      <c r="M25" s="14"/>
      <c r="O25" s="15"/>
      <c r="P25" s="15"/>
      <c r="Q25" s="13">
        <v>7</v>
      </c>
      <c r="R25" s="12">
        <v>3.3000000000000002E-2</v>
      </c>
      <c r="S25" s="14"/>
      <c r="T25" s="14"/>
    </row>
    <row r="26" spans="1:20" ht="15" customHeight="1" x14ac:dyDescent="0.3">
      <c r="A26" s="15"/>
      <c r="B26" s="15"/>
      <c r="C26" s="13">
        <v>8</v>
      </c>
      <c r="D26" s="12">
        <v>0.61499999999999999</v>
      </c>
      <c r="E26" s="14"/>
      <c r="F26" s="14"/>
      <c r="H26" s="15"/>
      <c r="I26" s="15"/>
      <c r="J26" s="13">
        <v>8</v>
      </c>
      <c r="K26" s="12">
        <v>0.247</v>
      </c>
      <c r="L26" s="14"/>
      <c r="M26" s="14"/>
      <c r="O26" s="15"/>
      <c r="P26" s="15"/>
      <c r="Q26" s="13">
        <v>8</v>
      </c>
      <c r="R26" s="12">
        <v>0.16400000000000001</v>
      </c>
      <c r="S26" s="14"/>
      <c r="T26" s="14"/>
    </row>
    <row r="27" spans="1:20" ht="15" customHeight="1" x14ac:dyDescent="0.3">
      <c r="A27" s="15"/>
      <c r="B27" s="15"/>
      <c r="C27" s="13">
        <v>9</v>
      </c>
      <c r="D27" s="12">
        <v>0.60299999999999998</v>
      </c>
      <c r="E27" s="14"/>
      <c r="F27" s="14"/>
      <c r="H27" s="15"/>
      <c r="I27" s="15"/>
      <c r="J27" s="13">
        <v>9</v>
      </c>
      <c r="K27" s="12">
        <v>0.157</v>
      </c>
      <c r="L27" s="14"/>
      <c r="M27" s="14"/>
      <c r="O27" s="15"/>
      <c r="P27" s="15"/>
      <c r="Q27" s="13">
        <v>9</v>
      </c>
      <c r="R27" s="12">
        <v>0.248</v>
      </c>
      <c r="S27" s="14"/>
      <c r="T27" s="14"/>
    </row>
    <row r="28" spans="1:20" ht="15" customHeight="1" x14ac:dyDescent="0.3">
      <c r="A28" s="15"/>
      <c r="B28" s="15"/>
      <c r="C28" s="13">
        <v>10</v>
      </c>
      <c r="D28" s="12">
        <v>0.60499999999999998</v>
      </c>
      <c r="E28" s="14"/>
      <c r="F28" s="14"/>
      <c r="H28" s="15"/>
      <c r="I28" s="15"/>
      <c r="J28" s="13">
        <v>10</v>
      </c>
      <c r="K28" s="12">
        <v>0.08</v>
      </c>
      <c r="L28" s="14"/>
      <c r="M28" s="14"/>
      <c r="O28" s="15"/>
      <c r="P28" s="15"/>
      <c r="Q28" s="13">
        <v>10</v>
      </c>
      <c r="R28" s="12">
        <v>0.38900000000000001</v>
      </c>
      <c r="S28" s="14"/>
      <c r="T28" s="14"/>
    </row>
    <row r="29" spans="1:20" ht="15" customHeight="1" x14ac:dyDescent="0.3">
      <c r="A29" s="15"/>
      <c r="B29" s="15"/>
      <c r="C29" s="13">
        <v>11</v>
      </c>
      <c r="D29" s="12">
        <v>0.434</v>
      </c>
      <c r="E29" s="14"/>
      <c r="F29" s="14"/>
      <c r="H29" s="15"/>
      <c r="I29" s="15"/>
      <c r="J29" s="13">
        <v>11</v>
      </c>
      <c r="K29" s="12">
        <v>0.46200000000000002</v>
      </c>
      <c r="L29" s="14"/>
      <c r="M29" s="14"/>
      <c r="O29" s="15"/>
      <c r="P29" s="15"/>
      <c r="Q29" s="13">
        <v>11</v>
      </c>
      <c r="R29" s="12">
        <v>0.16600000000000001</v>
      </c>
      <c r="S29" s="14"/>
      <c r="T29" s="14"/>
    </row>
    <row r="30" spans="1:20" ht="15" customHeight="1" x14ac:dyDescent="0.3">
      <c r="A30" s="15"/>
      <c r="B30" s="15"/>
      <c r="C30" s="13">
        <v>12</v>
      </c>
      <c r="D30" s="12">
        <v>0.33300000000000002</v>
      </c>
      <c r="E30" s="14"/>
      <c r="F30" s="14"/>
      <c r="H30" s="15"/>
      <c r="I30" s="15"/>
      <c r="J30" s="13">
        <v>12</v>
      </c>
      <c r="K30" s="12">
        <v>0.21</v>
      </c>
      <c r="L30" s="14"/>
      <c r="M30" s="14"/>
      <c r="O30" s="15"/>
      <c r="P30" s="15"/>
      <c r="Q30" s="13">
        <v>12</v>
      </c>
      <c r="R30" s="12">
        <v>0</v>
      </c>
      <c r="S30" s="14"/>
      <c r="T30" s="14"/>
    </row>
    <row r="31" spans="1:20" ht="15" customHeight="1" x14ac:dyDescent="0.3">
      <c r="A31" s="15"/>
      <c r="B31" s="15"/>
      <c r="C31" s="13">
        <v>13</v>
      </c>
      <c r="D31" s="12">
        <v>0.30499999999999999</v>
      </c>
      <c r="E31" s="14"/>
      <c r="F31" s="14"/>
      <c r="H31" s="15"/>
      <c r="I31" s="15"/>
      <c r="J31" s="13">
        <v>13</v>
      </c>
      <c r="K31" s="12">
        <v>0.23799999999999999</v>
      </c>
      <c r="L31" s="14"/>
      <c r="M31" s="14"/>
      <c r="O31" s="15"/>
      <c r="P31" s="15"/>
      <c r="Q31" s="13">
        <v>13</v>
      </c>
      <c r="R31" s="12">
        <v>3.5000000000000003E-2</v>
      </c>
      <c r="S31" s="14"/>
      <c r="T31" s="14"/>
    </row>
    <row r="32" spans="1:20" ht="15" customHeight="1" x14ac:dyDescent="0.3">
      <c r="A32" s="15"/>
      <c r="B32" s="15"/>
      <c r="C32" s="13">
        <v>14</v>
      </c>
      <c r="D32" s="12">
        <v>0.35199999999999998</v>
      </c>
      <c r="E32" s="14"/>
      <c r="F32" s="14"/>
      <c r="H32" s="15"/>
      <c r="I32" s="15"/>
      <c r="J32" s="13">
        <v>14</v>
      </c>
      <c r="K32" s="12">
        <v>0.105</v>
      </c>
      <c r="L32" s="14"/>
      <c r="M32" s="14"/>
      <c r="O32" s="15"/>
      <c r="P32" s="15"/>
      <c r="Q32" s="13">
        <v>14</v>
      </c>
      <c r="R32" s="12">
        <v>0.27300000000000002</v>
      </c>
      <c r="S32" s="14"/>
      <c r="T32" s="14"/>
    </row>
    <row r="33" spans="1:20" ht="15" customHeight="1" x14ac:dyDescent="0.3">
      <c r="A33" s="15"/>
      <c r="B33" s="15"/>
      <c r="C33" s="13">
        <v>15</v>
      </c>
      <c r="D33" s="12">
        <v>0.19500000000000001</v>
      </c>
      <c r="E33" s="14"/>
      <c r="F33" s="14"/>
      <c r="H33" s="15"/>
      <c r="I33" s="15"/>
      <c r="J33" s="13">
        <v>15</v>
      </c>
      <c r="K33" s="12">
        <v>9.4E-2</v>
      </c>
      <c r="L33" s="14"/>
      <c r="M33" s="14"/>
      <c r="O33" s="15"/>
      <c r="P33" s="15"/>
      <c r="Q33" s="13">
        <v>15</v>
      </c>
      <c r="R33" s="12">
        <v>2.8000000000000001E-2</v>
      </c>
      <c r="S33" s="14"/>
      <c r="T33" s="14"/>
    </row>
    <row r="35" spans="1:20" ht="15" customHeight="1" x14ac:dyDescent="0.3">
      <c r="A35" s="11" t="s">
        <v>68</v>
      </c>
      <c r="B35" s="15" t="s">
        <v>69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</row>
  </sheetData>
  <mergeCells count="25">
    <mergeCell ref="T2:T16"/>
    <mergeCell ref="A2:A16"/>
    <mergeCell ref="B2:B16"/>
    <mergeCell ref="E2:E16"/>
    <mergeCell ref="F2:F16"/>
    <mergeCell ref="H2:H16"/>
    <mergeCell ref="I2:I16"/>
    <mergeCell ref="L2:L16"/>
    <mergeCell ref="M2:M16"/>
    <mergeCell ref="O2:O16"/>
    <mergeCell ref="P2:P16"/>
    <mergeCell ref="S2:S16"/>
    <mergeCell ref="L19:L33"/>
    <mergeCell ref="M19:M33"/>
    <mergeCell ref="B35:T35"/>
    <mergeCell ref="A19:A33"/>
    <mergeCell ref="B19:B33"/>
    <mergeCell ref="E19:E33"/>
    <mergeCell ref="F19:F33"/>
    <mergeCell ref="H19:H33"/>
    <mergeCell ref="I19:I33"/>
    <mergeCell ref="O19:O33"/>
    <mergeCell ref="P19:P33"/>
    <mergeCell ref="S19:S33"/>
    <mergeCell ref="T19:T33"/>
  </mergeCells>
  <phoneticPr fontId="1" type="noConversion"/>
  <conditionalFormatting sqref="D2:D1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D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1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ABC28-4264-4654-8833-E887A48E5C2B}">
  <dimension ref="A1:T35"/>
  <sheetViews>
    <sheetView zoomScale="85" zoomScaleNormal="85" workbookViewId="0">
      <selection activeCell="U29" sqref="U29"/>
    </sheetView>
  </sheetViews>
  <sheetFormatPr defaultColWidth="10.75" defaultRowHeight="15" customHeight="1" x14ac:dyDescent="0.3"/>
  <cols>
    <col min="1" max="16384" width="10.75" style="10"/>
  </cols>
  <sheetData>
    <row r="1" spans="1:20" ht="15" customHeight="1" x14ac:dyDescent="0.3">
      <c r="A1" s="11" t="s">
        <v>62</v>
      </c>
      <c r="B1" s="11" t="s">
        <v>63</v>
      </c>
      <c r="C1" s="11" t="s">
        <v>64</v>
      </c>
      <c r="D1" s="11" t="s">
        <v>65</v>
      </c>
      <c r="E1" s="11" t="s">
        <v>66</v>
      </c>
      <c r="F1" s="11" t="s">
        <v>67</v>
      </c>
      <c r="H1" s="11" t="s">
        <v>62</v>
      </c>
      <c r="I1" s="11" t="s">
        <v>63</v>
      </c>
      <c r="J1" s="11" t="s">
        <v>64</v>
      </c>
      <c r="K1" s="11" t="s">
        <v>65</v>
      </c>
      <c r="L1" s="11" t="s">
        <v>66</v>
      </c>
      <c r="M1" s="11" t="s">
        <v>67</v>
      </c>
      <c r="O1" s="11" t="s">
        <v>62</v>
      </c>
      <c r="P1" s="11" t="s">
        <v>63</v>
      </c>
      <c r="Q1" s="11" t="s">
        <v>64</v>
      </c>
      <c r="R1" s="11" t="s">
        <v>65</v>
      </c>
      <c r="S1" s="11" t="s">
        <v>66</v>
      </c>
      <c r="T1" s="11" t="s">
        <v>67</v>
      </c>
    </row>
    <row r="2" spans="1:20" ht="15" customHeight="1" x14ac:dyDescent="0.3">
      <c r="A2" s="15">
        <v>4.5999999999999996</v>
      </c>
      <c r="B2" s="15">
        <v>2.4</v>
      </c>
      <c r="C2" s="13">
        <v>1</v>
      </c>
      <c r="D2" s="12">
        <v>3.9209999999999998</v>
      </c>
      <c r="E2" s="14">
        <f>AVERAGE(D2:D16)</f>
        <v>3.558266666666666</v>
      </c>
      <c r="F2" s="14">
        <f>_xlfn.VAR.S(D2:D16)</f>
        <v>5.6920923809523814E-2</v>
      </c>
      <c r="H2" s="15">
        <v>3.8</v>
      </c>
      <c r="I2" s="15">
        <v>2.4</v>
      </c>
      <c r="J2" s="13">
        <v>1</v>
      </c>
      <c r="K2" s="12">
        <v>3.4239999999999999</v>
      </c>
      <c r="L2" s="14">
        <f>AVERAGE(K2:K16)</f>
        <v>2.9607333333333332</v>
      </c>
      <c r="M2" s="14">
        <f>_xlfn.VAR.S(K2:K16)</f>
        <v>0.22598220952380846</v>
      </c>
      <c r="O2" s="15">
        <v>4.2</v>
      </c>
      <c r="P2" s="15">
        <v>1.6</v>
      </c>
      <c r="Q2" s="13">
        <v>1</v>
      </c>
      <c r="R2" s="12">
        <v>0</v>
      </c>
      <c r="S2" s="14">
        <f>AVERAGE(R2:R16)</f>
        <v>0</v>
      </c>
      <c r="T2" s="14">
        <f>_xlfn.VAR.S(R2:R16)</f>
        <v>0</v>
      </c>
    </row>
    <row r="3" spans="1:20" ht="15" customHeight="1" x14ac:dyDescent="0.3">
      <c r="A3" s="15"/>
      <c r="B3" s="15"/>
      <c r="C3" s="13">
        <v>2</v>
      </c>
      <c r="D3" s="12">
        <v>3.5640000000000001</v>
      </c>
      <c r="E3" s="14"/>
      <c r="F3" s="14"/>
      <c r="H3" s="15"/>
      <c r="I3" s="15"/>
      <c r="J3" s="13">
        <v>2</v>
      </c>
      <c r="K3" s="12">
        <v>3.1110000000000002</v>
      </c>
      <c r="L3" s="14"/>
      <c r="M3" s="14"/>
      <c r="O3" s="15"/>
      <c r="P3" s="15"/>
      <c r="Q3" s="13">
        <v>2</v>
      </c>
      <c r="R3" s="12">
        <v>0</v>
      </c>
      <c r="S3" s="14"/>
      <c r="T3" s="14"/>
    </row>
    <row r="4" spans="1:20" ht="15" customHeight="1" x14ac:dyDescent="0.3">
      <c r="A4" s="15"/>
      <c r="B4" s="15"/>
      <c r="C4" s="13">
        <v>3</v>
      </c>
      <c r="D4" s="12">
        <v>4.0890000000000004</v>
      </c>
      <c r="E4" s="14"/>
      <c r="F4" s="14"/>
      <c r="H4" s="15"/>
      <c r="I4" s="15"/>
      <c r="J4" s="13">
        <v>3</v>
      </c>
      <c r="K4" s="12">
        <v>2.665</v>
      </c>
      <c r="L4" s="14"/>
      <c r="M4" s="14"/>
      <c r="O4" s="15"/>
      <c r="P4" s="15"/>
      <c r="Q4" s="13">
        <v>3</v>
      </c>
      <c r="R4" s="12">
        <v>0</v>
      </c>
      <c r="S4" s="14"/>
      <c r="T4" s="14"/>
    </row>
    <row r="5" spans="1:20" ht="15" customHeight="1" x14ac:dyDescent="0.3">
      <c r="A5" s="15"/>
      <c r="B5" s="15"/>
      <c r="C5" s="13">
        <v>4</v>
      </c>
      <c r="D5" s="12">
        <v>3.3940000000000001</v>
      </c>
      <c r="E5" s="14"/>
      <c r="F5" s="14"/>
      <c r="H5" s="15"/>
      <c r="I5" s="15"/>
      <c r="J5" s="13">
        <v>4</v>
      </c>
      <c r="K5" s="12">
        <v>2.806</v>
      </c>
      <c r="L5" s="14"/>
      <c r="M5" s="14"/>
      <c r="O5" s="15"/>
      <c r="P5" s="15"/>
      <c r="Q5" s="13">
        <v>4</v>
      </c>
      <c r="R5" s="12">
        <v>0</v>
      </c>
      <c r="S5" s="14"/>
      <c r="T5" s="14"/>
    </row>
    <row r="6" spans="1:20" ht="15" customHeight="1" x14ac:dyDescent="0.3">
      <c r="A6" s="15"/>
      <c r="B6" s="15"/>
      <c r="C6" s="13">
        <v>5</v>
      </c>
      <c r="D6" s="12">
        <v>3.468</v>
      </c>
      <c r="E6" s="14"/>
      <c r="F6" s="14"/>
      <c r="H6" s="15"/>
      <c r="I6" s="15"/>
      <c r="J6" s="13">
        <v>5</v>
      </c>
      <c r="K6" s="12">
        <v>2.972</v>
      </c>
      <c r="L6" s="14"/>
      <c r="M6" s="14"/>
      <c r="O6" s="15"/>
      <c r="P6" s="15"/>
      <c r="Q6" s="13">
        <v>5</v>
      </c>
      <c r="R6" s="12">
        <v>0</v>
      </c>
      <c r="S6" s="14"/>
      <c r="T6" s="14"/>
    </row>
    <row r="7" spans="1:20" ht="15" customHeight="1" x14ac:dyDescent="0.3">
      <c r="A7" s="15"/>
      <c r="B7" s="15"/>
      <c r="C7" s="13">
        <v>6</v>
      </c>
      <c r="D7" s="12">
        <v>3.141</v>
      </c>
      <c r="E7" s="14"/>
      <c r="F7" s="14"/>
      <c r="H7" s="15"/>
      <c r="I7" s="15"/>
      <c r="J7" s="13">
        <v>6</v>
      </c>
      <c r="K7" s="12">
        <v>3.4129999999999998</v>
      </c>
      <c r="L7" s="14"/>
      <c r="M7" s="14"/>
      <c r="O7" s="15"/>
      <c r="P7" s="15"/>
      <c r="Q7" s="13">
        <v>6</v>
      </c>
      <c r="R7" s="12">
        <v>0</v>
      </c>
      <c r="S7" s="14"/>
      <c r="T7" s="14"/>
    </row>
    <row r="8" spans="1:20" ht="15" customHeight="1" x14ac:dyDescent="0.3">
      <c r="A8" s="15"/>
      <c r="B8" s="15"/>
      <c r="C8" s="13">
        <v>7</v>
      </c>
      <c r="D8" s="12">
        <v>3.77</v>
      </c>
      <c r="E8" s="14"/>
      <c r="F8" s="14"/>
      <c r="H8" s="15"/>
      <c r="I8" s="15"/>
      <c r="J8" s="13">
        <v>7</v>
      </c>
      <c r="K8" s="12">
        <v>2.4319999999999999</v>
      </c>
      <c r="L8" s="14"/>
      <c r="M8" s="14"/>
      <c r="O8" s="15"/>
      <c r="P8" s="15"/>
      <c r="Q8" s="13">
        <v>7</v>
      </c>
      <c r="R8" s="12">
        <v>0</v>
      </c>
      <c r="S8" s="14"/>
      <c r="T8" s="14"/>
    </row>
    <row r="9" spans="1:20" ht="15" customHeight="1" x14ac:dyDescent="0.3">
      <c r="A9" s="15"/>
      <c r="B9" s="15"/>
      <c r="C9" s="13">
        <v>8</v>
      </c>
      <c r="D9" s="12">
        <v>3.581</v>
      </c>
      <c r="E9" s="14"/>
      <c r="F9" s="14"/>
      <c r="H9" s="15"/>
      <c r="I9" s="15"/>
      <c r="J9" s="13">
        <v>8</v>
      </c>
      <c r="K9" s="12">
        <v>2.4529999999999998</v>
      </c>
      <c r="L9" s="14"/>
      <c r="M9" s="14"/>
      <c r="O9" s="15"/>
      <c r="P9" s="15"/>
      <c r="Q9" s="13">
        <v>8</v>
      </c>
      <c r="R9" s="12">
        <v>0</v>
      </c>
      <c r="S9" s="14"/>
      <c r="T9" s="14"/>
    </row>
    <row r="10" spans="1:20" ht="15" customHeight="1" x14ac:dyDescent="0.3">
      <c r="A10" s="15"/>
      <c r="B10" s="15"/>
      <c r="C10" s="13">
        <v>9</v>
      </c>
      <c r="D10" s="12">
        <v>3.2490000000000001</v>
      </c>
      <c r="E10" s="14"/>
      <c r="F10" s="14"/>
      <c r="H10" s="15"/>
      <c r="I10" s="15"/>
      <c r="J10" s="13">
        <v>9</v>
      </c>
      <c r="K10" s="12">
        <v>2.2890000000000001</v>
      </c>
      <c r="L10" s="14"/>
      <c r="M10" s="14"/>
      <c r="O10" s="15"/>
      <c r="P10" s="15"/>
      <c r="Q10" s="13">
        <v>9</v>
      </c>
      <c r="R10" s="12">
        <v>0</v>
      </c>
      <c r="S10" s="14"/>
      <c r="T10" s="14"/>
    </row>
    <row r="11" spans="1:20" ht="15" customHeight="1" x14ac:dyDescent="0.3">
      <c r="A11" s="15"/>
      <c r="B11" s="15"/>
      <c r="C11" s="13">
        <v>10</v>
      </c>
      <c r="D11" s="12">
        <v>3.4740000000000002</v>
      </c>
      <c r="E11" s="14"/>
      <c r="F11" s="14"/>
      <c r="H11" s="15"/>
      <c r="I11" s="15"/>
      <c r="J11" s="13">
        <v>10</v>
      </c>
      <c r="K11" s="12">
        <v>2.6960000000000002</v>
      </c>
      <c r="L11" s="14"/>
      <c r="M11" s="14"/>
      <c r="O11" s="15"/>
      <c r="P11" s="15"/>
      <c r="Q11" s="13">
        <v>10</v>
      </c>
      <c r="R11" s="12">
        <v>0</v>
      </c>
      <c r="S11" s="14"/>
      <c r="T11" s="14"/>
    </row>
    <row r="12" spans="1:20" ht="15" customHeight="1" x14ac:dyDescent="0.3">
      <c r="A12" s="15"/>
      <c r="B12" s="15"/>
      <c r="C12" s="13">
        <v>11</v>
      </c>
      <c r="D12" s="12">
        <v>3.57</v>
      </c>
      <c r="E12" s="14"/>
      <c r="F12" s="14"/>
      <c r="H12" s="15"/>
      <c r="I12" s="15"/>
      <c r="J12" s="13">
        <v>11</v>
      </c>
      <c r="K12" s="12">
        <v>3.7930000000000001</v>
      </c>
      <c r="L12" s="14"/>
      <c r="M12" s="14"/>
      <c r="O12" s="15"/>
      <c r="P12" s="15"/>
      <c r="Q12" s="13">
        <v>11</v>
      </c>
      <c r="R12" s="12">
        <v>0</v>
      </c>
      <c r="S12" s="14"/>
      <c r="T12" s="14"/>
    </row>
    <row r="13" spans="1:20" ht="15" customHeight="1" x14ac:dyDescent="0.3">
      <c r="A13" s="15"/>
      <c r="B13" s="15"/>
      <c r="C13" s="13">
        <v>12</v>
      </c>
      <c r="D13" s="12">
        <v>3.504</v>
      </c>
      <c r="E13" s="14"/>
      <c r="F13" s="14"/>
      <c r="H13" s="15"/>
      <c r="I13" s="15"/>
      <c r="J13" s="13">
        <v>12</v>
      </c>
      <c r="K13" s="12">
        <v>3.4980000000000002</v>
      </c>
      <c r="L13" s="14"/>
      <c r="M13" s="14"/>
      <c r="O13" s="15"/>
      <c r="P13" s="15"/>
      <c r="Q13" s="13">
        <v>12</v>
      </c>
      <c r="R13" s="12">
        <v>0</v>
      </c>
      <c r="S13" s="14"/>
      <c r="T13" s="14"/>
    </row>
    <row r="14" spans="1:20" ht="15" customHeight="1" x14ac:dyDescent="0.3">
      <c r="A14" s="15"/>
      <c r="B14" s="15"/>
      <c r="C14" s="13">
        <v>13</v>
      </c>
      <c r="D14" s="12">
        <v>3.4550000000000001</v>
      </c>
      <c r="E14" s="14"/>
      <c r="F14" s="14"/>
      <c r="H14" s="15"/>
      <c r="I14" s="15"/>
      <c r="J14" s="13">
        <v>13</v>
      </c>
      <c r="K14" s="12">
        <v>3.54</v>
      </c>
      <c r="L14" s="14"/>
      <c r="M14" s="14"/>
      <c r="O14" s="15"/>
      <c r="P14" s="15"/>
      <c r="Q14" s="13">
        <v>13</v>
      </c>
      <c r="R14" s="12">
        <v>0</v>
      </c>
      <c r="S14" s="14"/>
      <c r="T14" s="14"/>
    </row>
    <row r="15" spans="1:20" ht="15" customHeight="1" x14ac:dyDescent="0.3">
      <c r="A15" s="15"/>
      <c r="B15" s="15"/>
      <c r="C15" s="13">
        <v>14</v>
      </c>
      <c r="D15" s="12">
        <v>3.528</v>
      </c>
      <c r="E15" s="14"/>
      <c r="F15" s="14"/>
      <c r="H15" s="15"/>
      <c r="I15" s="15"/>
      <c r="J15" s="13">
        <v>14</v>
      </c>
      <c r="K15" s="12">
        <v>2.823</v>
      </c>
      <c r="L15" s="14"/>
      <c r="M15" s="14"/>
      <c r="O15" s="15"/>
      <c r="P15" s="15"/>
      <c r="Q15" s="13">
        <v>14</v>
      </c>
      <c r="R15" s="12">
        <v>0</v>
      </c>
      <c r="S15" s="14"/>
      <c r="T15" s="14"/>
    </row>
    <row r="16" spans="1:20" ht="15" customHeight="1" x14ac:dyDescent="0.3">
      <c r="A16" s="15"/>
      <c r="B16" s="15"/>
      <c r="C16" s="13">
        <v>15</v>
      </c>
      <c r="D16" s="12">
        <v>3.6659999999999999</v>
      </c>
      <c r="E16" s="14"/>
      <c r="F16" s="14"/>
      <c r="H16" s="15"/>
      <c r="I16" s="15"/>
      <c r="J16" s="13">
        <v>15</v>
      </c>
      <c r="K16" s="12">
        <v>2.496</v>
      </c>
      <c r="L16" s="14"/>
      <c r="M16" s="14"/>
      <c r="O16" s="15"/>
      <c r="P16" s="15"/>
      <c r="Q16" s="13">
        <v>15</v>
      </c>
      <c r="R16" s="12">
        <v>0</v>
      </c>
      <c r="S16" s="14"/>
      <c r="T16" s="14"/>
    </row>
    <row r="18" spans="1:20" ht="15" customHeight="1" x14ac:dyDescent="0.3">
      <c r="A18" s="11" t="s">
        <v>62</v>
      </c>
      <c r="B18" s="11" t="s">
        <v>63</v>
      </c>
      <c r="C18" s="11" t="s">
        <v>64</v>
      </c>
      <c r="D18" s="11" t="s">
        <v>65</v>
      </c>
      <c r="E18" s="11" t="s">
        <v>66</v>
      </c>
      <c r="F18" s="11" t="s">
        <v>67</v>
      </c>
      <c r="H18" s="11" t="s">
        <v>62</v>
      </c>
      <c r="I18" s="11" t="s">
        <v>63</v>
      </c>
      <c r="J18" s="11" t="s">
        <v>64</v>
      </c>
      <c r="K18" s="11" t="s">
        <v>65</v>
      </c>
      <c r="L18" s="11" t="s">
        <v>66</v>
      </c>
      <c r="M18" s="11" t="s">
        <v>67</v>
      </c>
      <c r="O18" s="11" t="s">
        <v>62</v>
      </c>
      <c r="P18" s="11" t="s">
        <v>63</v>
      </c>
      <c r="Q18" s="11" t="s">
        <v>64</v>
      </c>
      <c r="R18" s="11" t="s">
        <v>65</v>
      </c>
      <c r="S18" s="11" t="s">
        <v>66</v>
      </c>
      <c r="T18" s="11" t="s">
        <v>67</v>
      </c>
    </row>
    <row r="19" spans="1:20" ht="15" customHeight="1" x14ac:dyDescent="0.3">
      <c r="A19" s="15">
        <v>3.8</v>
      </c>
      <c r="B19" s="15">
        <v>3.2</v>
      </c>
      <c r="C19" s="13">
        <v>1</v>
      </c>
      <c r="D19" s="12">
        <v>9.6000000000000002E-2</v>
      </c>
      <c r="E19" s="14">
        <f>AVERAGE(D19:D33)</f>
        <v>5.6133333333333327E-2</v>
      </c>
      <c r="F19" s="14">
        <f>_xlfn.VAR.S(D19:D33)</f>
        <v>1.1655523809523821E-3</v>
      </c>
      <c r="H19" s="15">
        <v>5.4</v>
      </c>
      <c r="I19" s="15">
        <v>2.8</v>
      </c>
      <c r="J19" s="13">
        <v>1</v>
      </c>
      <c r="K19" s="12">
        <v>0</v>
      </c>
      <c r="L19" s="14">
        <f>AVERAGE(K19:K33)</f>
        <v>3.6533333333333334E-2</v>
      </c>
      <c r="M19" s="14">
        <f>_xlfn.VAR.S(K19:K33)</f>
        <v>2.7548380952380947E-3</v>
      </c>
      <c r="O19" s="15">
        <v>5</v>
      </c>
      <c r="P19" s="15">
        <v>1.2</v>
      </c>
      <c r="Q19" s="13">
        <v>1</v>
      </c>
      <c r="R19" s="12">
        <v>0</v>
      </c>
      <c r="S19" s="14">
        <f>AVERAGE(R19:R33)</f>
        <v>0</v>
      </c>
      <c r="T19" s="14">
        <f>_xlfn.VAR.S(R19:R33)</f>
        <v>0</v>
      </c>
    </row>
    <row r="20" spans="1:20" ht="15" customHeight="1" x14ac:dyDescent="0.3">
      <c r="A20" s="15"/>
      <c r="B20" s="15"/>
      <c r="C20" s="13">
        <v>2</v>
      </c>
      <c r="D20" s="12">
        <v>7.2999999999999995E-2</v>
      </c>
      <c r="E20" s="14"/>
      <c r="F20" s="14"/>
      <c r="H20" s="15"/>
      <c r="I20" s="15"/>
      <c r="J20" s="13">
        <v>2</v>
      </c>
      <c r="K20" s="12">
        <v>0</v>
      </c>
      <c r="L20" s="14"/>
      <c r="M20" s="14"/>
      <c r="O20" s="15"/>
      <c r="P20" s="15"/>
      <c r="Q20" s="13">
        <v>2</v>
      </c>
      <c r="R20" s="12">
        <v>0</v>
      </c>
      <c r="S20" s="14"/>
      <c r="T20" s="14"/>
    </row>
    <row r="21" spans="1:20" ht="15" customHeight="1" x14ac:dyDescent="0.3">
      <c r="A21" s="15"/>
      <c r="B21" s="15"/>
      <c r="C21" s="13">
        <v>3</v>
      </c>
      <c r="D21" s="12">
        <v>5.6000000000000001E-2</v>
      </c>
      <c r="E21" s="14"/>
      <c r="F21" s="14"/>
      <c r="H21" s="15"/>
      <c r="I21" s="15"/>
      <c r="J21" s="13">
        <v>3</v>
      </c>
      <c r="K21" s="12">
        <v>1.0999999999999999E-2</v>
      </c>
      <c r="L21" s="14"/>
      <c r="M21" s="14"/>
      <c r="O21" s="15"/>
      <c r="P21" s="15"/>
      <c r="Q21" s="13">
        <v>3</v>
      </c>
      <c r="R21" s="12">
        <v>0</v>
      </c>
      <c r="S21" s="14"/>
      <c r="T21" s="14"/>
    </row>
    <row r="22" spans="1:20" ht="15" customHeight="1" x14ac:dyDescent="0.3">
      <c r="A22" s="15"/>
      <c r="B22" s="15"/>
      <c r="C22" s="13">
        <v>4</v>
      </c>
      <c r="D22" s="12">
        <v>7.9000000000000001E-2</v>
      </c>
      <c r="E22" s="14"/>
      <c r="F22" s="14"/>
      <c r="H22" s="15"/>
      <c r="I22" s="15"/>
      <c r="J22" s="13">
        <v>4</v>
      </c>
      <c r="K22" s="12">
        <v>0</v>
      </c>
      <c r="L22" s="14"/>
      <c r="M22" s="14"/>
      <c r="O22" s="15"/>
      <c r="P22" s="15"/>
      <c r="Q22" s="13">
        <v>4</v>
      </c>
      <c r="R22" s="12">
        <v>0</v>
      </c>
      <c r="S22" s="14"/>
      <c r="T22" s="14"/>
    </row>
    <row r="23" spans="1:20" ht="15" customHeight="1" x14ac:dyDescent="0.3">
      <c r="A23" s="15"/>
      <c r="B23" s="15"/>
      <c r="C23" s="13">
        <v>5</v>
      </c>
      <c r="D23" s="12">
        <v>6.0999999999999999E-2</v>
      </c>
      <c r="E23" s="14"/>
      <c r="F23" s="14"/>
      <c r="H23" s="15"/>
      <c r="I23" s="15"/>
      <c r="J23" s="13">
        <v>5</v>
      </c>
      <c r="K23" s="12">
        <v>0</v>
      </c>
      <c r="L23" s="14"/>
      <c r="M23" s="14"/>
      <c r="O23" s="15"/>
      <c r="P23" s="15"/>
      <c r="Q23" s="13">
        <v>5</v>
      </c>
      <c r="R23" s="12">
        <v>0</v>
      </c>
      <c r="S23" s="14"/>
      <c r="T23" s="14"/>
    </row>
    <row r="24" spans="1:20" ht="15" customHeight="1" x14ac:dyDescent="0.3">
      <c r="A24" s="15"/>
      <c r="B24" s="15"/>
      <c r="C24" s="13">
        <v>6</v>
      </c>
      <c r="D24" s="12">
        <v>7.6999999999999999E-2</v>
      </c>
      <c r="E24" s="14"/>
      <c r="F24" s="14"/>
      <c r="H24" s="15"/>
      <c r="I24" s="15"/>
      <c r="J24" s="13">
        <v>6</v>
      </c>
      <c r="K24" s="12">
        <v>3.9E-2</v>
      </c>
      <c r="L24" s="14"/>
      <c r="M24" s="14"/>
      <c r="O24" s="15"/>
      <c r="P24" s="15"/>
      <c r="Q24" s="13">
        <v>6</v>
      </c>
      <c r="R24" s="12">
        <v>0</v>
      </c>
      <c r="S24" s="14"/>
      <c r="T24" s="14"/>
    </row>
    <row r="25" spans="1:20" ht="15" customHeight="1" x14ac:dyDescent="0.3">
      <c r="A25" s="15"/>
      <c r="B25" s="15"/>
      <c r="C25" s="13">
        <v>7</v>
      </c>
      <c r="D25" s="12">
        <v>1.7999999999999999E-2</v>
      </c>
      <c r="E25" s="14"/>
      <c r="F25" s="14"/>
      <c r="H25" s="15"/>
      <c r="I25" s="15"/>
      <c r="J25" s="13">
        <v>7</v>
      </c>
      <c r="K25" s="12">
        <v>0</v>
      </c>
      <c r="L25" s="14"/>
      <c r="M25" s="14"/>
      <c r="O25" s="15"/>
      <c r="P25" s="15"/>
      <c r="Q25" s="13">
        <v>7</v>
      </c>
      <c r="R25" s="12">
        <v>0</v>
      </c>
      <c r="S25" s="14"/>
      <c r="T25" s="14"/>
    </row>
    <row r="26" spans="1:20" ht="15" customHeight="1" x14ac:dyDescent="0.3">
      <c r="A26" s="15"/>
      <c r="B26" s="15"/>
      <c r="C26" s="13">
        <v>8</v>
      </c>
      <c r="D26" s="12">
        <v>0</v>
      </c>
      <c r="E26" s="14"/>
      <c r="F26" s="14"/>
      <c r="H26" s="15"/>
      <c r="I26" s="15"/>
      <c r="J26" s="13">
        <v>8</v>
      </c>
      <c r="K26" s="12">
        <v>2.7E-2</v>
      </c>
      <c r="L26" s="14"/>
      <c r="M26" s="14"/>
      <c r="O26" s="15"/>
      <c r="P26" s="15"/>
      <c r="Q26" s="13">
        <v>8</v>
      </c>
      <c r="R26" s="12">
        <v>0</v>
      </c>
      <c r="S26" s="14"/>
      <c r="T26" s="14"/>
    </row>
    <row r="27" spans="1:20" ht="15" customHeight="1" x14ac:dyDescent="0.3">
      <c r="A27" s="15"/>
      <c r="B27" s="15"/>
      <c r="C27" s="13">
        <v>9</v>
      </c>
      <c r="D27" s="12">
        <v>2.1999999999999999E-2</v>
      </c>
      <c r="E27" s="14"/>
      <c r="F27" s="14"/>
      <c r="H27" s="15"/>
      <c r="I27" s="15"/>
      <c r="J27" s="13">
        <v>9</v>
      </c>
      <c r="K27" s="12">
        <v>8.9999999999999993E-3</v>
      </c>
      <c r="L27" s="14"/>
      <c r="M27" s="14"/>
      <c r="O27" s="15"/>
      <c r="P27" s="15"/>
      <c r="Q27" s="13">
        <v>9</v>
      </c>
      <c r="R27" s="12">
        <v>0</v>
      </c>
      <c r="S27" s="14"/>
      <c r="T27" s="14"/>
    </row>
    <row r="28" spans="1:20" ht="15" customHeight="1" x14ac:dyDescent="0.3">
      <c r="A28" s="15"/>
      <c r="B28" s="15"/>
      <c r="C28" s="13">
        <v>10</v>
      </c>
      <c r="D28" s="12">
        <v>6.0000000000000001E-3</v>
      </c>
      <c r="E28" s="14"/>
      <c r="F28" s="14"/>
      <c r="H28" s="15"/>
      <c r="I28" s="15"/>
      <c r="J28" s="13">
        <v>10</v>
      </c>
      <c r="K28" s="12">
        <v>0.14099999999999999</v>
      </c>
      <c r="L28" s="14"/>
      <c r="M28" s="14"/>
      <c r="O28" s="15"/>
      <c r="P28" s="15"/>
      <c r="Q28" s="13">
        <v>10</v>
      </c>
      <c r="R28" s="12">
        <v>0</v>
      </c>
      <c r="S28" s="14"/>
      <c r="T28" s="14"/>
    </row>
    <row r="29" spans="1:20" ht="15" customHeight="1" x14ac:dyDescent="0.3">
      <c r="A29" s="15"/>
      <c r="B29" s="15"/>
      <c r="C29" s="13">
        <v>11</v>
      </c>
      <c r="D29" s="12">
        <v>1.6E-2</v>
      </c>
      <c r="E29" s="14"/>
      <c r="F29" s="14"/>
      <c r="H29" s="15"/>
      <c r="I29" s="15"/>
      <c r="J29" s="13">
        <v>11</v>
      </c>
      <c r="K29" s="12">
        <v>0.14499999999999999</v>
      </c>
      <c r="L29" s="14"/>
      <c r="M29" s="14"/>
      <c r="O29" s="15"/>
      <c r="P29" s="15"/>
      <c r="Q29" s="13">
        <v>11</v>
      </c>
      <c r="R29" s="12">
        <v>0</v>
      </c>
      <c r="S29" s="14"/>
      <c r="T29" s="14"/>
    </row>
    <row r="30" spans="1:20" ht="15" customHeight="1" x14ac:dyDescent="0.3">
      <c r="A30" s="15"/>
      <c r="B30" s="15"/>
      <c r="C30" s="13">
        <v>12</v>
      </c>
      <c r="D30" s="12">
        <v>7.5999999999999998E-2</v>
      </c>
      <c r="E30" s="14"/>
      <c r="F30" s="14"/>
      <c r="H30" s="15"/>
      <c r="I30" s="15"/>
      <c r="J30" s="13">
        <v>12</v>
      </c>
      <c r="K30" s="12">
        <v>0.109</v>
      </c>
      <c r="L30" s="14"/>
      <c r="M30" s="14"/>
      <c r="O30" s="15"/>
      <c r="P30" s="15"/>
      <c r="Q30" s="13">
        <v>12</v>
      </c>
      <c r="R30" s="12">
        <v>0</v>
      </c>
      <c r="S30" s="14"/>
      <c r="T30" s="14"/>
    </row>
    <row r="31" spans="1:20" ht="15" customHeight="1" x14ac:dyDescent="0.3">
      <c r="A31" s="15"/>
      <c r="B31" s="15"/>
      <c r="C31" s="13">
        <v>13</v>
      </c>
      <c r="D31" s="12">
        <v>7.4999999999999997E-2</v>
      </c>
      <c r="E31" s="14"/>
      <c r="F31" s="14"/>
      <c r="H31" s="15"/>
      <c r="I31" s="15"/>
      <c r="J31" s="13">
        <v>13</v>
      </c>
      <c r="K31" s="12">
        <v>5.7000000000000002E-2</v>
      </c>
      <c r="L31" s="14"/>
      <c r="M31" s="14"/>
      <c r="O31" s="15"/>
      <c r="P31" s="15"/>
      <c r="Q31" s="13">
        <v>13</v>
      </c>
      <c r="R31" s="12">
        <v>0</v>
      </c>
      <c r="S31" s="14"/>
      <c r="T31" s="14"/>
    </row>
    <row r="32" spans="1:20" ht="15" customHeight="1" x14ac:dyDescent="0.3">
      <c r="A32" s="15"/>
      <c r="B32" s="15"/>
      <c r="C32" s="13">
        <v>14</v>
      </c>
      <c r="D32" s="12">
        <v>0.09</v>
      </c>
      <c r="E32" s="14"/>
      <c r="F32" s="14"/>
      <c r="H32" s="15"/>
      <c r="I32" s="15"/>
      <c r="J32" s="13">
        <v>14</v>
      </c>
      <c r="K32" s="12">
        <v>0.01</v>
      </c>
      <c r="L32" s="14"/>
      <c r="M32" s="14"/>
      <c r="O32" s="15"/>
      <c r="P32" s="15"/>
      <c r="Q32" s="13">
        <v>14</v>
      </c>
      <c r="R32" s="12">
        <v>0</v>
      </c>
      <c r="S32" s="14"/>
      <c r="T32" s="14"/>
    </row>
    <row r="33" spans="1:20" ht="15" customHeight="1" x14ac:dyDescent="0.3">
      <c r="A33" s="15"/>
      <c r="B33" s="15"/>
      <c r="C33" s="13">
        <v>15</v>
      </c>
      <c r="D33" s="12">
        <v>9.7000000000000003E-2</v>
      </c>
      <c r="E33" s="14"/>
      <c r="F33" s="14"/>
      <c r="H33" s="15"/>
      <c r="I33" s="15"/>
      <c r="J33" s="13">
        <v>15</v>
      </c>
      <c r="K33" s="12">
        <v>0</v>
      </c>
      <c r="L33" s="14"/>
      <c r="M33" s="14"/>
      <c r="O33" s="15"/>
      <c r="P33" s="15"/>
      <c r="Q33" s="13">
        <v>15</v>
      </c>
      <c r="R33" s="12">
        <v>0</v>
      </c>
      <c r="S33" s="14"/>
      <c r="T33" s="14"/>
    </row>
    <row r="35" spans="1:20" ht="15" customHeight="1" x14ac:dyDescent="0.3">
      <c r="A35" s="11" t="s">
        <v>68</v>
      </c>
      <c r="B35" s="15" t="s">
        <v>71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</row>
  </sheetData>
  <mergeCells count="25">
    <mergeCell ref="L19:L33"/>
    <mergeCell ref="M19:M33"/>
    <mergeCell ref="B35:T35"/>
    <mergeCell ref="O19:O33"/>
    <mergeCell ref="P19:P33"/>
    <mergeCell ref="S19:S33"/>
    <mergeCell ref="T19:T33"/>
    <mergeCell ref="I19:I33"/>
    <mergeCell ref="A19:A33"/>
    <mergeCell ref="B19:B33"/>
    <mergeCell ref="E19:E33"/>
    <mergeCell ref="F19:F33"/>
    <mergeCell ref="H19:H33"/>
    <mergeCell ref="T2:T16"/>
    <mergeCell ref="A2:A16"/>
    <mergeCell ref="B2:B16"/>
    <mergeCell ref="E2:E16"/>
    <mergeCell ref="F2:F16"/>
    <mergeCell ref="H2:H16"/>
    <mergeCell ref="I2:I16"/>
    <mergeCell ref="L2:L16"/>
    <mergeCell ref="M2:M16"/>
    <mergeCell ref="O2:O16"/>
    <mergeCell ref="P2:P16"/>
    <mergeCell ref="S2:S16"/>
  </mergeCells>
  <phoneticPr fontId="1" type="noConversion"/>
  <conditionalFormatting sqref="D2:D1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D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1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3FA17-0BEF-4CB1-9E1C-AF47DF97CCEC}">
  <dimension ref="A1:T35"/>
  <sheetViews>
    <sheetView workbookViewId="0">
      <selection sqref="A1:XFD1048576"/>
    </sheetView>
  </sheetViews>
  <sheetFormatPr defaultColWidth="10.75" defaultRowHeight="15" customHeight="1" x14ac:dyDescent="0.3"/>
  <cols>
    <col min="1" max="16384" width="10.75" style="10"/>
  </cols>
  <sheetData>
    <row r="1" spans="1:20" ht="15" customHeight="1" x14ac:dyDescent="0.3">
      <c r="A1" s="11" t="s">
        <v>62</v>
      </c>
      <c r="B1" s="11" t="s">
        <v>63</v>
      </c>
      <c r="C1" s="11" t="s">
        <v>64</v>
      </c>
      <c r="D1" s="11" t="s">
        <v>65</v>
      </c>
      <c r="E1" s="11" t="s">
        <v>66</v>
      </c>
      <c r="F1" s="11" t="s">
        <v>67</v>
      </c>
      <c r="H1" s="11" t="s">
        <v>62</v>
      </c>
      <c r="I1" s="11" t="s">
        <v>63</v>
      </c>
      <c r="J1" s="11" t="s">
        <v>64</v>
      </c>
      <c r="K1" s="11" t="s">
        <v>65</v>
      </c>
      <c r="L1" s="11" t="s">
        <v>66</v>
      </c>
      <c r="M1" s="11" t="s">
        <v>67</v>
      </c>
      <c r="O1" s="11" t="s">
        <v>62</v>
      </c>
      <c r="P1" s="11" t="s">
        <v>63</v>
      </c>
      <c r="Q1" s="11" t="s">
        <v>64</v>
      </c>
      <c r="R1" s="11" t="s">
        <v>65</v>
      </c>
      <c r="S1" s="11" t="s">
        <v>66</v>
      </c>
      <c r="T1" s="11" t="s">
        <v>67</v>
      </c>
    </row>
    <row r="2" spans="1:20" ht="15" customHeight="1" x14ac:dyDescent="0.3">
      <c r="A2" s="15">
        <v>4.5999999999999996</v>
      </c>
      <c r="B2" s="15">
        <v>2.4</v>
      </c>
      <c r="C2" s="13">
        <v>1</v>
      </c>
      <c r="D2" s="12"/>
      <c r="E2" s="14" t="e">
        <f>AVERAGE(D2:D16)</f>
        <v>#DIV/0!</v>
      </c>
      <c r="F2" s="14" t="e">
        <f>_xlfn.VAR.S(D2:D16)</f>
        <v>#DIV/0!</v>
      </c>
      <c r="H2" s="15">
        <v>3.8</v>
      </c>
      <c r="I2" s="15">
        <v>2.4</v>
      </c>
      <c r="J2" s="13">
        <v>1</v>
      </c>
      <c r="K2" s="12"/>
      <c r="L2" s="14" t="e">
        <f>AVERAGE(K2:K16)</f>
        <v>#DIV/0!</v>
      </c>
      <c r="M2" s="14" t="e">
        <f>_xlfn.VAR.S(K2:K16)</f>
        <v>#DIV/0!</v>
      </c>
      <c r="O2" s="15">
        <v>4.2</v>
      </c>
      <c r="P2" s="15">
        <v>1.6</v>
      </c>
      <c r="Q2" s="13">
        <v>1</v>
      </c>
      <c r="R2" s="12"/>
      <c r="S2" s="14" t="e">
        <f>AVERAGE(R2:R16)</f>
        <v>#DIV/0!</v>
      </c>
      <c r="T2" s="14" t="e">
        <f>_xlfn.VAR.S(R2:R16)</f>
        <v>#DIV/0!</v>
      </c>
    </row>
    <row r="3" spans="1:20" ht="15" customHeight="1" x14ac:dyDescent="0.3">
      <c r="A3" s="15"/>
      <c r="B3" s="15"/>
      <c r="C3" s="13">
        <v>2</v>
      </c>
      <c r="D3" s="12"/>
      <c r="E3" s="14"/>
      <c r="F3" s="14"/>
      <c r="H3" s="15"/>
      <c r="I3" s="15"/>
      <c r="J3" s="13">
        <v>2</v>
      </c>
      <c r="K3" s="12"/>
      <c r="L3" s="14"/>
      <c r="M3" s="14"/>
      <c r="O3" s="15"/>
      <c r="P3" s="15"/>
      <c r="Q3" s="13">
        <v>2</v>
      </c>
      <c r="R3" s="12"/>
      <c r="S3" s="14"/>
      <c r="T3" s="14"/>
    </row>
    <row r="4" spans="1:20" ht="15" customHeight="1" x14ac:dyDescent="0.3">
      <c r="A4" s="15"/>
      <c r="B4" s="15"/>
      <c r="C4" s="13">
        <v>3</v>
      </c>
      <c r="D4" s="12"/>
      <c r="E4" s="14"/>
      <c r="F4" s="14"/>
      <c r="H4" s="15"/>
      <c r="I4" s="15"/>
      <c r="J4" s="13">
        <v>3</v>
      </c>
      <c r="K4" s="12"/>
      <c r="L4" s="14"/>
      <c r="M4" s="14"/>
      <c r="O4" s="15"/>
      <c r="P4" s="15"/>
      <c r="Q4" s="13">
        <v>3</v>
      </c>
      <c r="R4" s="12"/>
      <c r="S4" s="14"/>
      <c r="T4" s="14"/>
    </row>
    <row r="5" spans="1:20" ht="15" customHeight="1" x14ac:dyDescent="0.3">
      <c r="A5" s="15"/>
      <c r="B5" s="15"/>
      <c r="C5" s="13">
        <v>4</v>
      </c>
      <c r="D5" s="12"/>
      <c r="E5" s="14"/>
      <c r="F5" s="14"/>
      <c r="H5" s="15"/>
      <c r="I5" s="15"/>
      <c r="J5" s="13">
        <v>4</v>
      </c>
      <c r="K5" s="12"/>
      <c r="L5" s="14"/>
      <c r="M5" s="14"/>
      <c r="O5" s="15"/>
      <c r="P5" s="15"/>
      <c r="Q5" s="13">
        <v>4</v>
      </c>
      <c r="R5" s="12"/>
      <c r="S5" s="14"/>
      <c r="T5" s="14"/>
    </row>
    <row r="6" spans="1:20" ht="15" customHeight="1" x14ac:dyDescent="0.3">
      <c r="A6" s="15"/>
      <c r="B6" s="15"/>
      <c r="C6" s="13">
        <v>5</v>
      </c>
      <c r="D6" s="12"/>
      <c r="E6" s="14"/>
      <c r="F6" s="14"/>
      <c r="H6" s="15"/>
      <c r="I6" s="15"/>
      <c r="J6" s="13">
        <v>5</v>
      </c>
      <c r="K6" s="12"/>
      <c r="L6" s="14"/>
      <c r="M6" s="14"/>
      <c r="O6" s="15"/>
      <c r="P6" s="15"/>
      <c r="Q6" s="13">
        <v>5</v>
      </c>
      <c r="R6" s="12"/>
      <c r="S6" s="14"/>
      <c r="T6" s="14"/>
    </row>
    <row r="7" spans="1:20" ht="15" customHeight="1" x14ac:dyDescent="0.3">
      <c r="A7" s="15"/>
      <c r="B7" s="15"/>
      <c r="C7" s="13">
        <v>6</v>
      </c>
      <c r="D7" s="12"/>
      <c r="E7" s="14"/>
      <c r="F7" s="14"/>
      <c r="H7" s="15"/>
      <c r="I7" s="15"/>
      <c r="J7" s="13">
        <v>6</v>
      </c>
      <c r="K7" s="12"/>
      <c r="L7" s="14"/>
      <c r="M7" s="14"/>
      <c r="O7" s="15"/>
      <c r="P7" s="15"/>
      <c r="Q7" s="13">
        <v>6</v>
      </c>
      <c r="R7" s="12"/>
      <c r="S7" s="14"/>
      <c r="T7" s="14"/>
    </row>
    <row r="8" spans="1:20" ht="15" customHeight="1" x14ac:dyDescent="0.3">
      <c r="A8" s="15"/>
      <c r="B8" s="15"/>
      <c r="C8" s="13">
        <v>7</v>
      </c>
      <c r="D8" s="12"/>
      <c r="E8" s="14"/>
      <c r="F8" s="14"/>
      <c r="H8" s="15"/>
      <c r="I8" s="15"/>
      <c r="J8" s="13">
        <v>7</v>
      </c>
      <c r="K8" s="12"/>
      <c r="L8" s="14"/>
      <c r="M8" s="14"/>
      <c r="O8" s="15"/>
      <c r="P8" s="15"/>
      <c r="Q8" s="13">
        <v>7</v>
      </c>
      <c r="R8" s="12"/>
      <c r="S8" s="14"/>
      <c r="T8" s="14"/>
    </row>
    <row r="9" spans="1:20" ht="15" customHeight="1" x14ac:dyDescent="0.3">
      <c r="A9" s="15"/>
      <c r="B9" s="15"/>
      <c r="C9" s="13">
        <v>8</v>
      </c>
      <c r="D9" s="12"/>
      <c r="E9" s="14"/>
      <c r="F9" s="14"/>
      <c r="H9" s="15"/>
      <c r="I9" s="15"/>
      <c r="J9" s="13">
        <v>8</v>
      </c>
      <c r="K9" s="12"/>
      <c r="L9" s="14"/>
      <c r="M9" s="14"/>
      <c r="O9" s="15"/>
      <c r="P9" s="15"/>
      <c r="Q9" s="13">
        <v>8</v>
      </c>
      <c r="R9" s="12"/>
      <c r="S9" s="14"/>
      <c r="T9" s="14"/>
    </row>
    <row r="10" spans="1:20" ht="15" customHeight="1" x14ac:dyDescent="0.3">
      <c r="A10" s="15"/>
      <c r="B10" s="15"/>
      <c r="C10" s="13">
        <v>9</v>
      </c>
      <c r="D10" s="12"/>
      <c r="E10" s="14"/>
      <c r="F10" s="14"/>
      <c r="H10" s="15"/>
      <c r="I10" s="15"/>
      <c r="J10" s="13">
        <v>9</v>
      </c>
      <c r="K10" s="12"/>
      <c r="L10" s="14"/>
      <c r="M10" s="14"/>
      <c r="O10" s="15"/>
      <c r="P10" s="15"/>
      <c r="Q10" s="13">
        <v>9</v>
      </c>
      <c r="R10" s="12"/>
      <c r="S10" s="14"/>
      <c r="T10" s="14"/>
    </row>
    <row r="11" spans="1:20" ht="15" customHeight="1" x14ac:dyDescent="0.3">
      <c r="A11" s="15"/>
      <c r="B11" s="15"/>
      <c r="C11" s="13">
        <v>10</v>
      </c>
      <c r="D11" s="12"/>
      <c r="E11" s="14"/>
      <c r="F11" s="14"/>
      <c r="H11" s="15"/>
      <c r="I11" s="15"/>
      <c r="J11" s="13">
        <v>10</v>
      </c>
      <c r="K11" s="12"/>
      <c r="L11" s="14"/>
      <c r="M11" s="14"/>
      <c r="O11" s="15"/>
      <c r="P11" s="15"/>
      <c r="Q11" s="13">
        <v>10</v>
      </c>
      <c r="R11" s="12"/>
      <c r="S11" s="14"/>
      <c r="T11" s="14"/>
    </row>
    <row r="12" spans="1:20" ht="15" customHeight="1" x14ac:dyDescent="0.3">
      <c r="A12" s="15"/>
      <c r="B12" s="15"/>
      <c r="C12" s="13">
        <v>11</v>
      </c>
      <c r="D12" s="12"/>
      <c r="E12" s="14"/>
      <c r="F12" s="14"/>
      <c r="H12" s="15"/>
      <c r="I12" s="15"/>
      <c r="J12" s="13">
        <v>11</v>
      </c>
      <c r="K12" s="12"/>
      <c r="L12" s="14"/>
      <c r="M12" s="14"/>
      <c r="O12" s="15"/>
      <c r="P12" s="15"/>
      <c r="Q12" s="13">
        <v>11</v>
      </c>
      <c r="R12" s="12"/>
      <c r="S12" s="14"/>
      <c r="T12" s="14"/>
    </row>
    <row r="13" spans="1:20" ht="15" customHeight="1" x14ac:dyDescent="0.3">
      <c r="A13" s="15"/>
      <c r="B13" s="15"/>
      <c r="C13" s="13">
        <v>12</v>
      </c>
      <c r="D13" s="12"/>
      <c r="E13" s="14"/>
      <c r="F13" s="14"/>
      <c r="H13" s="15"/>
      <c r="I13" s="15"/>
      <c r="J13" s="13">
        <v>12</v>
      </c>
      <c r="K13" s="12"/>
      <c r="L13" s="14"/>
      <c r="M13" s="14"/>
      <c r="O13" s="15"/>
      <c r="P13" s="15"/>
      <c r="Q13" s="13">
        <v>12</v>
      </c>
      <c r="R13" s="12"/>
      <c r="S13" s="14"/>
      <c r="T13" s="14"/>
    </row>
    <row r="14" spans="1:20" ht="15" customHeight="1" x14ac:dyDescent="0.3">
      <c r="A14" s="15"/>
      <c r="B14" s="15"/>
      <c r="C14" s="13">
        <v>13</v>
      </c>
      <c r="D14" s="12"/>
      <c r="E14" s="14"/>
      <c r="F14" s="14"/>
      <c r="H14" s="15"/>
      <c r="I14" s="15"/>
      <c r="J14" s="13">
        <v>13</v>
      </c>
      <c r="K14" s="12"/>
      <c r="L14" s="14"/>
      <c r="M14" s="14"/>
      <c r="O14" s="15"/>
      <c r="P14" s="15"/>
      <c r="Q14" s="13">
        <v>13</v>
      </c>
      <c r="R14" s="12"/>
      <c r="S14" s="14"/>
      <c r="T14" s="14"/>
    </row>
    <row r="15" spans="1:20" ht="15" customHeight="1" x14ac:dyDescent="0.3">
      <c r="A15" s="15"/>
      <c r="B15" s="15"/>
      <c r="C15" s="13">
        <v>14</v>
      </c>
      <c r="D15" s="12"/>
      <c r="E15" s="14"/>
      <c r="F15" s="14"/>
      <c r="H15" s="15"/>
      <c r="I15" s="15"/>
      <c r="J15" s="13">
        <v>14</v>
      </c>
      <c r="K15" s="12"/>
      <c r="L15" s="14"/>
      <c r="M15" s="14"/>
      <c r="O15" s="15"/>
      <c r="P15" s="15"/>
      <c r="Q15" s="13">
        <v>14</v>
      </c>
      <c r="R15" s="12"/>
      <c r="S15" s="14"/>
      <c r="T15" s="14"/>
    </row>
    <row r="16" spans="1:20" ht="15" customHeight="1" x14ac:dyDescent="0.3">
      <c r="A16" s="15"/>
      <c r="B16" s="15"/>
      <c r="C16" s="13">
        <v>15</v>
      </c>
      <c r="D16" s="12"/>
      <c r="E16" s="14"/>
      <c r="F16" s="14"/>
      <c r="H16" s="15"/>
      <c r="I16" s="15"/>
      <c r="J16" s="13">
        <v>15</v>
      </c>
      <c r="K16" s="12"/>
      <c r="L16" s="14"/>
      <c r="M16" s="14"/>
      <c r="O16" s="15"/>
      <c r="P16" s="15"/>
      <c r="Q16" s="13">
        <v>15</v>
      </c>
      <c r="R16" s="12"/>
      <c r="S16" s="14"/>
      <c r="T16" s="14"/>
    </row>
    <row r="18" spans="1:20" ht="15" customHeight="1" x14ac:dyDescent="0.3">
      <c r="A18" s="11" t="s">
        <v>62</v>
      </c>
      <c r="B18" s="11" t="s">
        <v>63</v>
      </c>
      <c r="C18" s="11" t="s">
        <v>64</v>
      </c>
      <c r="D18" s="11" t="s">
        <v>65</v>
      </c>
      <c r="E18" s="11" t="s">
        <v>66</v>
      </c>
      <c r="F18" s="11" t="s">
        <v>67</v>
      </c>
      <c r="H18" s="11" t="s">
        <v>62</v>
      </c>
      <c r="I18" s="11" t="s">
        <v>63</v>
      </c>
      <c r="J18" s="11" t="s">
        <v>64</v>
      </c>
      <c r="K18" s="11" t="s">
        <v>65</v>
      </c>
      <c r="L18" s="11" t="s">
        <v>66</v>
      </c>
      <c r="M18" s="11" t="s">
        <v>67</v>
      </c>
      <c r="O18" s="11" t="s">
        <v>62</v>
      </c>
      <c r="P18" s="11" t="s">
        <v>63</v>
      </c>
      <c r="Q18" s="11" t="s">
        <v>64</v>
      </c>
      <c r="R18" s="11" t="s">
        <v>65</v>
      </c>
      <c r="S18" s="11" t="s">
        <v>66</v>
      </c>
      <c r="T18" s="11" t="s">
        <v>67</v>
      </c>
    </row>
    <row r="19" spans="1:20" ht="15" customHeight="1" x14ac:dyDescent="0.3">
      <c r="A19" s="15">
        <v>3.8</v>
      </c>
      <c r="B19" s="15">
        <v>3.2</v>
      </c>
      <c r="C19" s="13">
        <v>1</v>
      </c>
      <c r="D19" s="12"/>
      <c r="E19" s="14" t="e">
        <f>AVERAGE(D19:D33)</f>
        <v>#DIV/0!</v>
      </c>
      <c r="F19" s="14" t="e">
        <f>_xlfn.VAR.S(D19:D33)</f>
        <v>#DIV/0!</v>
      </c>
      <c r="H19" s="15">
        <v>5.4</v>
      </c>
      <c r="I19" s="15">
        <v>2.8</v>
      </c>
      <c r="J19" s="13">
        <v>1</v>
      </c>
      <c r="K19" s="12"/>
      <c r="L19" s="14" t="e">
        <f>AVERAGE(K19:K33)</f>
        <v>#DIV/0!</v>
      </c>
      <c r="M19" s="14" t="e">
        <f>_xlfn.VAR.S(K19:K33)</f>
        <v>#DIV/0!</v>
      </c>
      <c r="O19" s="15">
        <v>5</v>
      </c>
      <c r="P19" s="15">
        <v>1.2</v>
      </c>
      <c r="Q19" s="13">
        <v>1</v>
      </c>
      <c r="R19" s="12"/>
      <c r="S19" s="14" t="e">
        <f>AVERAGE(R19:R33)</f>
        <v>#DIV/0!</v>
      </c>
      <c r="T19" s="14" t="e">
        <f>_xlfn.VAR.S(R19:R33)</f>
        <v>#DIV/0!</v>
      </c>
    </row>
    <row r="20" spans="1:20" ht="15" customHeight="1" x14ac:dyDescent="0.3">
      <c r="A20" s="15"/>
      <c r="B20" s="15"/>
      <c r="C20" s="13">
        <v>2</v>
      </c>
      <c r="D20" s="12"/>
      <c r="E20" s="14"/>
      <c r="F20" s="14"/>
      <c r="H20" s="15"/>
      <c r="I20" s="15"/>
      <c r="J20" s="13">
        <v>2</v>
      </c>
      <c r="K20" s="12"/>
      <c r="L20" s="14"/>
      <c r="M20" s="14"/>
      <c r="O20" s="15"/>
      <c r="P20" s="15"/>
      <c r="Q20" s="13">
        <v>2</v>
      </c>
      <c r="R20" s="12"/>
      <c r="S20" s="14"/>
      <c r="T20" s="14"/>
    </row>
    <row r="21" spans="1:20" ht="15" customHeight="1" x14ac:dyDescent="0.3">
      <c r="A21" s="15"/>
      <c r="B21" s="15"/>
      <c r="C21" s="13">
        <v>3</v>
      </c>
      <c r="D21" s="12"/>
      <c r="E21" s="14"/>
      <c r="F21" s="14"/>
      <c r="H21" s="15"/>
      <c r="I21" s="15"/>
      <c r="J21" s="13">
        <v>3</v>
      </c>
      <c r="K21" s="12"/>
      <c r="L21" s="14"/>
      <c r="M21" s="14"/>
      <c r="O21" s="15"/>
      <c r="P21" s="15"/>
      <c r="Q21" s="13">
        <v>3</v>
      </c>
      <c r="R21" s="12"/>
      <c r="S21" s="14"/>
      <c r="T21" s="14"/>
    </row>
    <row r="22" spans="1:20" ht="15" customHeight="1" x14ac:dyDescent="0.3">
      <c r="A22" s="15"/>
      <c r="B22" s="15"/>
      <c r="C22" s="13">
        <v>4</v>
      </c>
      <c r="D22" s="12"/>
      <c r="E22" s="14"/>
      <c r="F22" s="14"/>
      <c r="H22" s="15"/>
      <c r="I22" s="15"/>
      <c r="J22" s="13">
        <v>4</v>
      </c>
      <c r="K22" s="12"/>
      <c r="L22" s="14"/>
      <c r="M22" s="14"/>
      <c r="O22" s="15"/>
      <c r="P22" s="15"/>
      <c r="Q22" s="13">
        <v>4</v>
      </c>
      <c r="R22" s="12"/>
      <c r="S22" s="14"/>
      <c r="T22" s="14"/>
    </row>
    <row r="23" spans="1:20" ht="15" customHeight="1" x14ac:dyDescent="0.3">
      <c r="A23" s="15"/>
      <c r="B23" s="15"/>
      <c r="C23" s="13">
        <v>5</v>
      </c>
      <c r="D23" s="12"/>
      <c r="E23" s="14"/>
      <c r="F23" s="14"/>
      <c r="H23" s="15"/>
      <c r="I23" s="15"/>
      <c r="J23" s="13">
        <v>5</v>
      </c>
      <c r="K23" s="12"/>
      <c r="L23" s="14"/>
      <c r="M23" s="14"/>
      <c r="O23" s="15"/>
      <c r="P23" s="15"/>
      <c r="Q23" s="13">
        <v>5</v>
      </c>
      <c r="R23" s="12"/>
      <c r="S23" s="14"/>
      <c r="T23" s="14"/>
    </row>
    <row r="24" spans="1:20" ht="15" customHeight="1" x14ac:dyDescent="0.3">
      <c r="A24" s="15"/>
      <c r="B24" s="15"/>
      <c r="C24" s="13">
        <v>6</v>
      </c>
      <c r="D24" s="12"/>
      <c r="E24" s="14"/>
      <c r="F24" s="14"/>
      <c r="H24" s="15"/>
      <c r="I24" s="15"/>
      <c r="J24" s="13">
        <v>6</v>
      </c>
      <c r="K24" s="12"/>
      <c r="L24" s="14"/>
      <c r="M24" s="14"/>
      <c r="O24" s="15"/>
      <c r="P24" s="15"/>
      <c r="Q24" s="13">
        <v>6</v>
      </c>
      <c r="R24" s="12"/>
      <c r="S24" s="14"/>
      <c r="T24" s="14"/>
    </row>
    <row r="25" spans="1:20" ht="15" customHeight="1" x14ac:dyDescent="0.3">
      <c r="A25" s="15"/>
      <c r="B25" s="15"/>
      <c r="C25" s="13">
        <v>7</v>
      </c>
      <c r="D25" s="12"/>
      <c r="E25" s="14"/>
      <c r="F25" s="14"/>
      <c r="H25" s="15"/>
      <c r="I25" s="15"/>
      <c r="J25" s="13">
        <v>7</v>
      </c>
      <c r="K25" s="12"/>
      <c r="L25" s="14"/>
      <c r="M25" s="14"/>
      <c r="O25" s="15"/>
      <c r="P25" s="15"/>
      <c r="Q25" s="13">
        <v>7</v>
      </c>
      <c r="R25" s="12"/>
      <c r="S25" s="14"/>
      <c r="T25" s="14"/>
    </row>
    <row r="26" spans="1:20" ht="15" customHeight="1" x14ac:dyDescent="0.3">
      <c r="A26" s="15"/>
      <c r="B26" s="15"/>
      <c r="C26" s="13">
        <v>8</v>
      </c>
      <c r="D26" s="12"/>
      <c r="E26" s="14"/>
      <c r="F26" s="14"/>
      <c r="H26" s="15"/>
      <c r="I26" s="15"/>
      <c r="J26" s="13">
        <v>8</v>
      </c>
      <c r="K26" s="12"/>
      <c r="L26" s="14"/>
      <c r="M26" s="14"/>
      <c r="O26" s="15"/>
      <c r="P26" s="15"/>
      <c r="Q26" s="13">
        <v>8</v>
      </c>
      <c r="R26" s="12"/>
      <c r="S26" s="14"/>
      <c r="T26" s="14"/>
    </row>
    <row r="27" spans="1:20" ht="15" customHeight="1" x14ac:dyDescent="0.3">
      <c r="A27" s="15"/>
      <c r="B27" s="15"/>
      <c r="C27" s="13">
        <v>9</v>
      </c>
      <c r="D27" s="12"/>
      <c r="E27" s="14"/>
      <c r="F27" s="14"/>
      <c r="H27" s="15"/>
      <c r="I27" s="15"/>
      <c r="J27" s="13">
        <v>9</v>
      </c>
      <c r="K27" s="12"/>
      <c r="L27" s="14"/>
      <c r="M27" s="14"/>
      <c r="O27" s="15"/>
      <c r="P27" s="15"/>
      <c r="Q27" s="13">
        <v>9</v>
      </c>
      <c r="R27" s="12"/>
      <c r="S27" s="14"/>
      <c r="T27" s="14"/>
    </row>
    <row r="28" spans="1:20" ht="15" customHeight="1" x14ac:dyDescent="0.3">
      <c r="A28" s="15"/>
      <c r="B28" s="15"/>
      <c r="C28" s="13">
        <v>10</v>
      </c>
      <c r="D28" s="12"/>
      <c r="E28" s="14"/>
      <c r="F28" s="14"/>
      <c r="H28" s="15"/>
      <c r="I28" s="15"/>
      <c r="J28" s="13">
        <v>10</v>
      </c>
      <c r="K28" s="12"/>
      <c r="L28" s="14"/>
      <c r="M28" s="14"/>
      <c r="O28" s="15"/>
      <c r="P28" s="15"/>
      <c r="Q28" s="13">
        <v>10</v>
      </c>
      <c r="R28" s="12"/>
      <c r="S28" s="14"/>
      <c r="T28" s="14"/>
    </row>
    <row r="29" spans="1:20" ht="15" customHeight="1" x14ac:dyDescent="0.3">
      <c r="A29" s="15"/>
      <c r="B29" s="15"/>
      <c r="C29" s="13">
        <v>11</v>
      </c>
      <c r="D29" s="12"/>
      <c r="E29" s="14"/>
      <c r="F29" s="14"/>
      <c r="H29" s="15"/>
      <c r="I29" s="15"/>
      <c r="J29" s="13">
        <v>11</v>
      </c>
      <c r="K29" s="12"/>
      <c r="L29" s="14"/>
      <c r="M29" s="14"/>
      <c r="O29" s="15"/>
      <c r="P29" s="15"/>
      <c r="Q29" s="13">
        <v>11</v>
      </c>
      <c r="R29" s="12"/>
      <c r="S29" s="14"/>
      <c r="T29" s="14"/>
    </row>
    <row r="30" spans="1:20" ht="15" customHeight="1" x14ac:dyDescent="0.3">
      <c r="A30" s="15"/>
      <c r="B30" s="15"/>
      <c r="C30" s="13">
        <v>12</v>
      </c>
      <c r="D30" s="12"/>
      <c r="E30" s="14"/>
      <c r="F30" s="14"/>
      <c r="H30" s="15"/>
      <c r="I30" s="15"/>
      <c r="J30" s="13">
        <v>12</v>
      </c>
      <c r="K30" s="12"/>
      <c r="L30" s="14"/>
      <c r="M30" s="14"/>
      <c r="O30" s="15"/>
      <c r="P30" s="15"/>
      <c r="Q30" s="13">
        <v>12</v>
      </c>
      <c r="R30" s="12"/>
      <c r="S30" s="14"/>
      <c r="T30" s="14"/>
    </row>
    <row r="31" spans="1:20" ht="15" customHeight="1" x14ac:dyDescent="0.3">
      <c r="A31" s="15"/>
      <c r="B31" s="15"/>
      <c r="C31" s="13">
        <v>13</v>
      </c>
      <c r="D31" s="12"/>
      <c r="E31" s="14"/>
      <c r="F31" s="14"/>
      <c r="H31" s="15"/>
      <c r="I31" s="15"/>
      <c r="J31" s="13">
        <v>13</v>
      </c>
      <c r="K31" s="12"/>
      <c r="L31" s="14"/>
      <c r="M31" s="14"/>
      <c r="O31" s="15"/>
      <c r="P31" s="15"/>
      <c r="Q31" s="13">
        <v>13</v>
      </c>
      <c r="R31" s="12"/>
      <c r="S31" s="14"/>
      <c r="T31" s="14"/>
    </row>
    <row r="32" spans="1:20" ht="15" customHeight="1" x14ac:dyDescent="0.3">
      <c r="A32" s="15"/>
      <c r="B32" s="15"/>
      <c r="C32" s="13">
        <v>14</v>
      </c>
      <c r="D32" s="12"/>
      <c r="E32" s="14"/>
      <c r="F32" s="14"/>
      <c r="H32" s="15"/>
      <c r="I32" s="15"/>
      <c r="J32" s="13">
        <v>14</v>
      </c>
      <c r="K32" s="12"/>
      <c r="L32" s="14"/>
      <c r="M32" s="14"/>
      <c r="O32" s="15"/>
      <c r="P32" s="15"/>
      <c r="Q32" s="13">
        <v>14</v>
      </c>
      <c r="R32" s="12"/>
      <c r="S32" s="14"/>
      <c r="T32" s="14"/>
    </row>
    <row r="33" spans="1:20" ht="15" customHeight="1" x14ac:dyDescent="0.3">
      <c r="A33" s="15"/>
      <c r="B33" s="15"/>
      <c r="C33" s="13">
        <v>15</v>
      </c>
      <c r="D33" s="12"/>
      <c r="E33" s="14"/>
      <c r="F33" s="14"/>
      <c r="H33" s="15"/>
      <c r="I33" s="15"/>
      <c r="J33" s="13">
        <v>15</v>
      </c>
      <c r="K33" s="12"/>
      <c r="L33" s="14"/>
      <c r="M33" s="14"/>
      <c r="O33" s="15"/>
      <c r="P33" s="15"/>
      <c r="Q33" s="13">
        <v>15</v>
      </c>
      <c r="R33" s="12"/>
      <c r="S33" s="14"/>
      <c r="T33" s="14"/>
    </row>
    <row r="35" spans="1:20" ht="15" customHeight="1" x14ac:dyDescent="0.3">
      <c r="A35" s="11" t="s">
        <v>68</v>
      </c>
      <c r="B35" s="15" t="s">
        <v>70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</row>
  </sheetData>
  <mergeCells count="25">
    <mergeCell ref="T2:T16"/>
    <mergeCell ref="A2:A16"/>
    <mergeCell ref="B2:B16"/>
    <mergeCell ref="E2:E16"/>
    <mergeCell ref="F2:F16"/>
    <mergeCell ref="H2:H16"/>
    <mergeCell ref="I2:I16"/>
    <mergeCell ref="L2:L16"/>
    <mergeCell ref="M2:M16"/>
    <mergeCell ref="O2:O16"/>
    <mergeCell ref="P2:P16"/>
    <mergeCell ref="S2:S16"/>
    <mergeCell ref="L19:L33"/>
    <mergeCell ref="M19:M33"/>
    <mergeCell ref="B35:T35"/>
    <mergeCell ref="A19:A33"/>
    <mergeCell ref="B19:B33"/>
    <mergeCell ref="E19:E33"/>
    <mergeCell ref="F19:F33"/>
    <mergeCell ref="H19:H33"/>
    <mergeCell ref="I19:I33"/>
    <mergeCell ref="O19:O33"/>
    <mergeCell ref="P19:P33"/>
    <mergeCell ref="S19:S33"/>
    <mergeCell ref="T19:T33"/>
  </mergeCells>
  <phoneticPr fontId="1" type="noConversion"/>
  <conditionalFormatting sqref="D2:D1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D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1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839F6-C618-4AF4-B695-22B88946378A}">
  <dimension ref="A1:P14"/>
  <sheetViews>
    <sheetView workbookViewId="0">
      <selection activeCell="L23" sqref="L23"/>
    </sheetView>
  </sheetViews>
  <sheetFormatPr defaultColWidth="10.75" defaultRowHeight="20.149999999999999" customHeight="1" x14ac:dyDescent="0.3"/>
  <cols>
    <col min="1" max="16384" width="10.75" style="3"/>
  </cols>
  <sheetData>
    <row r="1" spans="1:16" ht="20.149999999999999" customHeight="1" x14ac:dyDescent="0.3">
      <c r="A1" s="7" t="s">
        <v>55</v>
      </c>
      <c r="B1" s="7">
        <v>0</v>
      </c>
      <c r="C1" s="7">
        <v>1.2</v>
      </c>
      <c r="D1" s="7">
        <v>2.2000000000000002</v>
      </c>
      <c r="E1" s="7">
        <f>D1+0.4</f>
        <v>2.6</v>
      </c>
      <c r="F1" s="7">
        <f t="shared" ref="F1:N1" si="0">E1+0.4</f>
        <v>3</v>
      </c>
      <c r="G1" s="7">
        <f t="shared" si="0"/>
        <v>3.4</v>
      </c>
      <c r="H1" s="7">
        <f t="shared" si="0"/>
        <v>3.8</v>
      </c>
      <c r="I1" s="8">
        <f t="shared" si="0"/>
        <v>4.2</v>
      </c>
      <c r="J1" s="7">
        <f t="shared" si="0"/>
        <v>4.6000000000000005</v>
      </c>
      <c r="K1" s="7">
        <f t="shared" si="0"/>
        <v>5.0000000000000009</v>
      </c>
      <c r="L1" s="7">
        <f t="shared" si="0"/>
        <v>5.4000000000000012</v>
      </c>
      <c r="M1" s="7">
        <f t="shared" si="0"/>
        <v>5.8000000000000016</v>
      </c>
      <c r="N1" s="7">
        <f t="shared" si="0"/>
        <v>6.200000000000002</v>
      </c>
      <c r="O1" s="7">
        <v>7.2</v>
      </c>
      <c r="P1" s="7">
        <v>8.4</v>
      </c>
    </row>
    <row r="2" spans="1:16" ht="20.149999999999999" customHeight="1" x14ac:dyDescent="0.3">
      <c r="A2" s="7">
        <v>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6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</row>
    <row r="3" spans="1:16" ht="20.149999999999999" customHeight="1" x14ac:dyDescent="0.3">
      <c r="A3" s="7">
        <v>0.4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6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</row>
    <row r="4" spans="1:16" ht="20.149999999999999" customHeight="1" x14ac:dyDescent="0.3">
      <c r="A4" s="7">
        <f t="shared" ref="A4:A13" si="1">A3+0.4</f>
        <v>0.8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6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</row>
    <row r="5" spans="1:16" ht="20.149999999999999" customHeight="1" x14ac:dyDescent="0.3">
      <c r="A5" s="7">
        <f t="shared" si="1"/>
        <v>1.2000000000000002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0.161</v>
      </c>
      <c r="I5" s="6">
        <v>0.30099999999999999</v>
      </c>
      <c r="J5" s="5">
        <v>0.29799999999999999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</row>
    <row r="6" spans="1:16" ht="20.149999999999999" customHeight="1" x14ac:dyDescent="0.3">
      <c r="A6" s="7">
        <f t="shared" si="1"/>
        <v>1.6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0.57999999999999996</v>
      </c>
      <c r="I6" s="6">
        <v>0.308</v>
      </c>
      <c r="J6" s="5">
        <v>0.59899999999999998</v>
      </c>
      <c r="K6" s="5">
        <v>5.7000000000000002E-2</v>
      </c>
      <c r="L6" s="5">
        <v>0</v>
      </c>
      <c r="M6" s="5">
        <v>0</v>
      </c>
      <c r="N6" s="5">
        <v>0</v>
      </c>
      <c r="O6" s="5">
        <v>0</v>
      </c>
      <c r="P6" s="5">
        <v>0</v>
      </c>
    </row>
    <row r="7" spans="1:16" ht="20.149999999999999" customHeight="1" x14ac:dyDescent="0.3">
      <c r="A7" s="7">
        <f t="shared" si="1"/>
        <v>2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1.327</v>
      </c>
      <c r="I7" s="6">
        <v>4.8140000000000001</v>
      </c>
      <c r="J7" s="5">
        <v>2.2930000000000001</v>
      </c>
      <c r="K7" s="5">
        <v>0.126</v>
      </c>
      <c r="L7" s="5">
        <v>0</v>
      </c>
      <c r="M7" s="5">
        <v>0</v>
      </c>
      <c r="N7" s="5">
        <v>0</v>
      </c>
      <c r="O7" s="5">
        <v>0</v>
      </c>
      <c r="P7" s="5">
        <v>0</v>
      </c>
    </row>
    <row r="8" spans="1:16" ht="20.149999999999999" customHeight="1" x14ac:dyDescent="0.3">
      <c r="A8" s="8">
        <f t="shared" si="1"/>
        <v>2.4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4.101</v>
      </c>
      <c r="I8" s="6">
        <v>0.66900000000000004</v>
      </c>
      <c r="J8" s="6">
        <v>4.8570000000000002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</row>
    <row r="9" spans="1:16" ht="20.149999999999999" customHeight="1" x14ac:dyDescent="0.3">
      <c r="A9" s="7">
        <f t="shared" si="1"/>
        <v>2.8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1.7310000000000001</v>
      </c>
      <c r="I9" s="6">
        <v>4.718</v>
      </c>
      <c r="J9" s="5">
        <v>1.198</v>
      </c>
      <c r="K9" s="5">
        <v>3.4000000000000002E-2</v>
      </c>
      <c r="L9" s="5">
        <v>0</v>
      </c>
      <c r="M9" s="5">
        <v>0</v>
      </c>
      <c r="N9" s="5">
        <v>0</v>
      </c>
      <c r="O9" s="5">
        <v>0</v>
      </c>
      <c r="P9" s="5">
        <v>0</v>
      </c>
    </row>
    <row r="10" spans="1:16" ht="20.149999999999999" customHeight="1" x14ac:dyDescent="0.3">
      <c r="A10" s="7">
        <f t="shared" si="1"/>
        <v>3.1999999999999997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0.35899999999999999</v>
      </c>
      <c r="I10" s="6">
        <v>0.39100000000000001</v>
      </c>
      <c r="J10" s="5">
        <v>9.8000000000000004E-2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</row>
    <row r="11" spans="1:16" ht="20.149999999999999" customHeight="1" x14ac:dyDescent="0.3">
      <c r="A11" s="7">
        <f t="shared" si="1"/>
        <v>3.5999999999999996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0.11799999999999999</v>
      </c>
      <c r="I11" s="6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</row>
    <row r="12" spans="1:16" ht="20.149999999999999" customHeight="1" x14ac:dyDescent="0.3">
      <c r="A12" s="7">
        <f t="shared" si="1"/>
        <v>3.9999999999999996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6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</row>
    <row r="13" spans="1:16" ht="20.149999999999999" customHeight="1" x14ac:dyDescent="0.3">
      <c r="A13" s="7">
        <f t="shared" si="1"/>
        <v>4.3999999999999995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6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</row>
    <row r="14" spans="1:16" ht="20.149999999999999" customHeight="1" x14ac:dyDescent="0.3">
      <c r="A14" s="7">
        <v>4.8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6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</row>
  </sheetData>
  <phoneticPr fontId="1" type="noConversion"/>
  <conditionalFormatting sqref="B2:P1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BD578-188B-42B3-B257-B55B903FC4D0}">
  <dimension ref="A1:T33"/>
  <sheetViews>
    <sheetView zoomScale="85" zoomScaleNormal="85" workbookViewId="0">
      <selection activeCell="V33" sqref="V33"/>
    </sheetView>
  </sheetViews>
  <sheetFormatPr defaultColWidth="10.75" defaultRowHeight="15" customHeight="1" x14ac:dyDescent="0.3"/>
  <cols>
    <col min="1" max="16384" width="10.75" style="10"/>
  </cols>
  <sheetData>
    <row r="1" spans="1:20" ht="15" customHeight="1" x14ac:dyDescent="0.3">
      <c r="A1" s="11" t="s">
        <v>62</v>
      </c>
      <c r="B1" s="11" t="s">
        <v>63</v>
      </c>
      <c r="C1" s="11" t="s">
        <v>64</v>
      </c>
      <c r="D1" s="11" t="s">
        <v>65</v>
      </c>
      <c r="E1" s="11" t="s">
        <v>66</v>
      </c>
      <c r="F1" s="11" t="s">
        <v>67</v>
      </c>
      <c r="H1" s="11" t="s">
        <v>62</v>
      </c>
      <c r="I1" s="11" t="s">
        <v>63</v>
      </c>
      <c r="J1" s="11" t="s">
        <v>64</v>
      </c>
      <c r="K1" s="11" t="s">
        <v>65</v>
      </c>
      <c r="L1" s="11" t="s">
        <v>66</v>
      </c>
      <c r="M1" s="11" t="s">
        <v>67</v>
      </c>
      <c r="O1" s="11" t="s">
        <v>62</v>
      </c>
      <c r="P1" s="11" t="s">
        <v>63</v>
      </c>
      <c r="Q1" s="11" t="s">
        <v>64</v>
      </c>
      <c r="R1" s="11" t="s">
        <v>65</v>
      </c>
      <c r="S1" s="11" t="s">
        <v>66</v>
      </c>
      <c r="T1" s="11" t="s">
        <v>67</v>
      </c>
    </row>
    <row r="2" spans="1:20" ht="15" customHeight="1" x14ac:dyDescent="0.3">
      <c r="A2" s="15">
        <v>4.5999999999999996</v>
      </c>
      <c r="B2" s="15">
        <v>2.4</v>
      </c>
      <c r="C2" s="13">
        <v>1</v>
      </c>
      <c r="D2" s="12">
        <v>5.21</v>
      </c>
      <c r="E2" s="14">
        <f>AVERAGE(D2:D16)</f>
        <v>4.8574000000000002</v>
      </c>
      <c r="F2" s="14">
        <f>_xlfn.VAR.S(D2:D16)</f>
        <v>0.14380997142857146</v>
      </c>
      <c r="H2" s="15">
        <v>3.8</v>
      </c>
      <c r="I2" s="15">
        <v>2.4</v>
      </c>
      <c r="J2" s="13">
        <v>1</v>
      </c>
      <c r="K2" s="12">
        <v>3.7269999999999999</v>
      </c>
      <c r="L2" s="14">
        <f>AVERAGE(K2:K16)</f>
        <v>4.1005333333333338</v>
      </c>
      <c r="M2" s="14">
        <f>_xlfn.VAR.S(K2:K16)</f>
        <v>0.13410012380952382</v>
      </c>
      <c r="O2" s="15">
        <v>4.2</v>
      </c>
      <c r="P2" s="15">
        <v>1.6</v>
      </c>
      <c r="Q2" s="13">
        <v>1</v>
      </c>
      <c r="R2" s="12">
        <v>0.371</v>
      </c>
      <c r="S2" s="14">
        <f>AVERAGE(R2:R16)</f>
        <v>0.30753333333333333</v>
      </c>
      <c r="T2" s="14">
        <f>_xlfn.VAR.S(R2:R16)</f>
        <v>1.5589695238095249E-2</v>
      </c>
    </row>
    <row r="3" spans="1:20" ht="15" customHeight="1" x14ac:dyDescent="0.3">
      <c r="A3" s="15"/>
      <c r="B3" s="15"/>
      <c r="C3" s="13">
        <v>2</v>
      </c>
      <c r="D3" s="12">
        <v>4.7430000000000003</v>
      </c>
      <c r="E3" s="14"/>
      <c r="F3" s="14"/>
      <c r="H3" s="15"/>
      <c r="I3" s="15"/>
      <c r="J3" s="13">
        <v>2</v>
      </c>
      <c r="K3" s="12">
        <v>3.8660000000000001</v>
      </c>
      <c r="L3" s="14"/>
      <c r="M3" s="14"/>
      <c r="O3" s="15"/>
      <c r="P3" s="15"/>
      <c r="Q3" s="13">
        <v>2</v>
      </c>
      <c r="R3" s="12">
        <v>0.40899999999999997</v>
      </c>
      <c r="S3" s="14"/>
      <c r="T3" s="14"/>
    </row>
    <row r="4" spans="1:20" ht="15" customHeight="1" x14ac:dyDescent="0.3">
      <c r="A4" s="15"/>
      <c r="B4" s="15"/>
      <c r="C4" s="13">
        <v>3</v>
      </c>
      <c r="D4" s="12">
        <v>4.1859999999999999</v>
      </c>
      <c r="E4" s="14"/>
      <c r="F4" s="14"/>
      <c r="H4" s="15"/>
      <c r="I4" s="15"/>
      <c r="J4" s="13">
        <v>3</v>
      </c>
      <c r="K4" s="12">
        <v>4.2160000000000002</v>
      </c>
      <c r="L4" s="14"/>
      <c r="M4" s="14"/>
      <c r="O4" s="15"/>
      <c r="P4" s="15"/>
      <c r="Q4" s="13">
        <v>3</v>
      </c>
      <c r="R4" s="12">
        <v>0.496</v>
      </c>
      <c r="S4" s="14"/>
      <c r="T4" s="14"/>
    </row>
    <row r="5" spans="1:20" ht="15" customHeight="1" x14ac:dyDescent="0.3">
      <c r="A5" s="15"/>
      <c r="B5" s="15"/>
      <c r="C5" s="13">
        <v>4</v>
      </c>
      <c r="D5" s="12">
        <v>4.1189999999999998</v>
      </c>
      <c r="E5" s="14"/>
      <c r="F5" s="14"/>
      <c r="H5" s="15"/>
      <c r="I5" s="15"/>
      <c r="J5" s="13">
        <v>4</v>
      </c>
      <c r="K5" s="12">
        <v>3.9140000000000001</v>
      </c>
      <c r="L5" s="14"/>
      <c r="M5" s="14"/>
      <c r="O5" s="15"/>
      <c r="P5" s="15"/>
      <c r="Q5" s="13">
        <v>4</v>
      </c>
      <c r="R5" s="12">
        <v>0.182</v>
      </c>
      <c r="S5" s="14"/>
      <c r="T5" s="14"/>
    </row>
    <row r="6" spans="1:20" ht="15" customHeight="1" x14ac:dyDescent="0.3">
      <c r="A6" s="15"/>
      <c r="B6" s="15"/>
      <c r="C6" s="13">
        <v>5</v>
      </c>
      <c r="D6" s="12">
        <v>4.8140000000000001</v>
      </c>
      <c r="E6" s="14"/>
      <c r="F6" s="14"/>
      <c r="H6" s="15"/>
      <c r="I6" s="15"/>
      <c r="J6" s="13">
        <v>5</v>
      </c>
      <c r="K6" s="12">
        <v>3.6720000000000002</v>
      </c>
      <c r="L6" s="14"/>
      <c r="M6" s="14"/>
      <c r="O6" s="15"/>
      <c r="P6" s="15"/>
      <c r="Q6" s="13">
        <v>5</v>
      </c>
      <c r="R6" s="12">
        <v>0.30399999999999999</v>
      </c>
      <c r="S6" s="14"/>
      <c r="T6" s="14"/>
    </row>
    <row r="7" spans="1:20" ht="15" customHeight="1" x14ac:dyDescent="0.3">
      <c r="A7" s="15"/>
      <c r="B7" s="15"/>
      <c r="C7" s="13">
        <v>6</v>
      </c>
      <c r="D7" s="12">
        <v>4.8499999999999996</v>
      </c>
      <c r="E7" s="14"/>
      <c r="F7" s="14"/>
      <c r="H7" s="15"/>
      <c r="I7" s="15"/>
      <c r="J7" s="13">
        <v>6</v>
      </c>
      <c r="K7" s="12">
        <v>4.4649999999999999</v>
      </c>
      <c r="L7" s="14"/>
      <c r="M7" s="14"/>
      <c r="O7" s="15"/>
      <c r="P7" s="15"/>
      <c r="Q7" s="13">
        <v>6</v>
      </c>
      <c r="R7" s="12">
        <v>0.57299999999999995</v>
      </c>
      <c r="S7" s="14"/>
      <c r="T7" s="14"/>
    </row>
    <row r="8" spans="1:20" ht="15" customHeight="1" x14ac:dyDescent="0.3">
      <c r="A8" s="15"/>
      <c r="B8" s="15"/>
      <c r="C8" s="13">
        <v>7</v>
      </c>
      <c r="D8" s="12">
        <v>4.93</v>
      </c>
      <c r="E8" s="14"/>
      <c r="F8" s="14"/>
      <c r="H8" s="15"/>
      <c r="I8" s="15"/>
      <c r="J8" s="13">
        <v>7</v>
      </c>
      <c r="K8" s="12">
        <v>4.6219999999999999</v>
      </c>
      <c r="L8" s="14"/>
      <c r="M8" s="14"/>
      <c r="O8" s="15"/>
      <c r="P8" s="15"/>
      <c r="Q8" s="13">
        <v>7</v>
      </c>
      <c r="R8" s="12">
        <v>0.38300000000000001</v>
      </c>
      <c r="S8" s="14"/>
      <c r="T8" s="14"/>
    </row>
    <row r="9" spans="1:20" ht="15" customHeight="1" x14ac:dyDescent="0.3">
      <c r="A9" s="15"/>
      <c r="B9" s="15"/>
      <c r="C9" s="13">
        <v>8</v>
      </c>
      <c r="D9" s="12">
        <v>5.133</v>
      </c>
      <c r="E9" s="14"/>
      <c r="F9" s="14"/>
      <c r="H9" s="15"/>
      <c r="I9" s="15"/>
      <c r="J9" s="13">
        <v>8</v>
      </c>
      <c r="K9" s="12">
        <v>4.4710000000000001</v>
      </c>
      <c r="L9" s="14"/>
      <c r="M9" s="14"/>
      <c r="O9" s="15"/>
      <c r="P9" s="15"/>
      <c r="Q9" s="13">
        <v>8</v>
      </c>
      <c r="R9" s="12">
        <v>0.33200000000000002</v>
      </c>
      <c r="S9" s="14"/>
      <c r="T9" s="14"/>
    </row>
    <row r="10" spans="1:20" ht="15" customHeight="1" x14ac:dyDescent="0.3">
      <c r="A10" s="15"/>
      <c r="B10" s="15"/>
      <c r="C10" s="13">
        <v>9</v>
      </c>
      <c r="D10" s="12">
        <v>4.6159999999999997</v>
      </c>
      <c r="E10" s="14"/>
      <c r="F10" s="14"/>
      <c r="H10" s="15"/>
      <c r="I10" s="15"/>
      <c r="J10" s="13">
        <v>9</v>
      </c>
      <c r="K10" s="12">
        <v>4.4880000000000004</v>
      </c>
      <c r="L10" s="14"/>
      <c r="M10" s="14"/>
      <c r="O10" s="15"/>
      <c r="P10" s="15"/>
      <c r="Q10" s="13">
        <v>9</v>
      </c>
      <c r="R10" s="12">
        <v>0.21199999999999999</v>
      </c>
      <c r="S10" s="14"/>
      <c r="T10" s="14"/>
    </row>
    <row r="11" spans="1:20" ht="15" customHeight="1" x14ac:dyDescent="0.3">
      <c r="A11" s="15"/>
      <c r="B11" s="15"/>
      <c r="C11" s="13">
        <v>10</v>
      </c>
      <c r="D11" s="12">
        <v>4.8499999999999996</v>
      </c>
      <c r="E11" s="14"/>
      <c r="F11" s="14"/>
      <c r="H11" s="15"/>
      <c r="I11" s="15"/>
      <c r="J11" s="13">
        <v>10</v>
      </c>
      <c r="K11" s="12">
        <v>4.2350000000000003</v>
      </c>
      <c r="L11" s="14"/>
      <c r="M11" s="14"/>
      <c r="O11" s="15"/>
      <c r="P11" s="15"/>
      <c r="Q11" s="13">
        <v>10</v>
      </c>
      <c r="R11" s="12">
        <v>0.152</v>
      </c>
      <c r="S11" s="14"/>
      <c r="T11" s="14"/>
    </row>
    <row r="12" spans="1:20" ht="15" customHeight="1" x14ac:dyDescent="0.3">
      <c r="A12" s="15"/>
      <c r="B12" s="15"/>
      <c r="C12" s="13">
        <v>11</v>
      </c>
      <c r="D12" s="12">
        <v>4.8330000000000002</v>
      </c>
      <c r="E12" s="14"/>
      <c r="F12" s="14"/>
      <c r="H12" s="15"/>
      <c r="I12" s="15"/>
      <c r="J12" s="13">
        <v>11</v>
      </c>
      <c r="K12" s="12">
        <v>4.3860000000000001</v>
      </c>
      <c r="L12" s="14"/>
      <c r="M12" s="14"/>
      <c r="O12" s="15"/>
      <c r="P12" s="15"/>
      <c r="Q12" s="13">
        <v>11</v>
      </c>
      <c r="R12" s="12">
        <v>0.23799999999999999</v>
      </c>
      <c r="S12" s="14"/>
      <c r="T12" s="14"/>
    </row>
    <row r="13" spans="1:20" ht="15" customHeight="1" x14ac:dyDescent="0.3">
      <c r="A13" s="15"/>
      <c r="B13" s="15"/>
      <c r="C13" s="13">
        <v>12</v>
      </c>
      <c r="D13" s="12">
        <v>5.0259999999999998</v>
      </c>
      <c r="E13" s="14"/>
      <c r="F13" s="14"/>
      <c r="H13" s="15"/>
      <c r="I13" s="15"/>
      <c r="J13" s="13">
        <v>12</v>
      </c>
      <c r="K13" s="12">
        <v>3.7269999999999999</v>
      </c>
      <c r="L13" s="14"/>
      <c r="M13" s="14"/>
      <c r="O13" s="15"/>
      <c r="P13" s="15"/>
      <c r="Q13" s="13">
        <v>12</v>
      </c>
      <c r="R13" s="12">
        <v>0.122</v>
      </c>
      <c r="S13" s="14"/>
      <c r="T13" s="14"/>
    </row>
    <row r="14" spans="1:20" ht="15" customHeight="1" x14ac:dyDescent="0.3">
      <c r="A14" s="15"/>
      <c r="B14" s="15"/>
      <c r="C14" s="13">
        <v>13</v>
      </c>
      <c r="D14" s="12">
        <v>5.1719999999999997</v>
      </c>
      <c r="E14" s="14"/>
      <c r="F14" s="14"/>
      <c r="H14" s="15"/>
      <c r="I14" s="15"/>
      <c r="J14" s="13">
        <v>13</v>
      </c>
      <c r="K14" s="12">
        <v>3.4910000000000001</v>
      </c>
      <c r="L14" s="14"/>
      <c r="M14" s="14"/>
      <c r="O14" s="15"/>
      <c r="P14" s="15"/>
      <c r="Q14" s="13">
        <v>13</v>
      </c>
      <c r="R14" s="12">
        <v>0.25700000000000001</v>
      </c>
      <c r="S14" s="14"/>
      <c r="T14" s="14"/>
    </row>
    <row r="15" spans="1:20" ht="15" customHeight="1" x14ac:dyDescent="0.3">
      <c r="A15" s="15"/>
      <c r="B15" s="15"/>
      <c r="C15" s="13">
        <v>14</v>
      </c>
      <c r="D15" s="12">
        <v>4.7480000000000002</v>
      </c>
      <c r="E15" s="14"/>
      <c r="F15" s="14"/>
      <c r="H15" s="15"/>
      <c r="I15" s="15"/>
      <c r="J15" s="13">
        <v>14</v>
      </c>
      <c r="K15" s="12">
        <v>4.3860000000000001</v>
      </c>
      <c r="L15" s="14"/>
      <c r="M15" s="14"/>
      <c r="O15" s="15"/>
      <c r="P15" s="15"/>
      <c r="Q15" s="13">
        <v>14</v>
      </c>
      <c r="R15" s="12">
        <v>0.30099999999999999</v>
      </c>
      <c r="S15" s="14"/>
      <c r="T15" s="14"/>
    </row>
    <row r="16" spans="1:20" ht="15" customHeight="1" x14ac:dyDescent="0.3">
      <c r="A16" s="15"/>
      <c r="B16" s="15"/>
      <c r="C16" s="13">
        <v>15</v>
      </c>
      <c r="D16" s="12">
        <v>5.6310000000000002</v>
      </c>
      <c r="E16" s="14"/>
      <c r="F16" s="14"/>
      <c r="H16" s="15"/>
      <c r="I16" s="15"/>
      <c r="J16" s="13">
        <v>15</v>
      </c>
      <c r="K16" s="12">
        <v>3.8420000000000001</v>
      </c>
      <c r="L16" s="14"/>
      <c r="M16" s="14"/>
      <c r="O16" s="15"/>
      <c r="P16" s="15"/>
      <c r="Q16" s="13">
        <v>15</v>
      </c>
      <c r="R16" s="12">
        <v>0.28100000000000003</v>
      </c>
      <c r="S16" s="14"/>
      <c r="T16" s="14"/>
    </row>
    <row r="18" spans="1:20" ht="15" customHeight="1" x14ac:dyDescent="0.3">
      <c r="A18" s="11" t="s">
        <v>62</v>
      </c>
      <c r="B18" s="11" t="s">
        <v>63</v>
      </c>
      <c r="C18" s="11" t="s">
        <v>64</v>
      </c>
      <c r="D18" s="11" t="s">
        <v>65</v>
      </c>
      <c r="E18" s="11" t="s">
        <v>66</v>
      </c>
      <c r="F18" s="11" t="s">
        <v>67</v>
      </c>
      <c r="H18" s="11" t="s">
        <v>62</v>
      </c>
      <c r="I18" s="11" t="s">
        <v>63</v>
      </c>
      <c r="J18" s="11" t="s">
        <v>64</v>
      </c>
      <c r="K18" s="11" t="s">
        <v>65</v>
      </c>
      <c r="L18" s="11" t="s">
        <v>66</v>
      </c>
      <c r="M18" s="11" t="s">
        <v>67</v>
      </c>
      <c r="O18" s="11" t="s">
        <v>62</v>
      </c>
      <c r="P18" s="11" t="s">
        <v>63</v>
      </c>
      <c r="Q18" s="11" t="s">
        <v>64</v>
      </c>
      <c r="R18" s="11" t="s">
        <v>65</v>
      </c>
      <c r="S18" s="11" t="s">
        <v>66</v>
      </c>
      <c r="T18" s="11" t="s">
        <v>67</v>
      </c>
    </row>
    <row r="19" spans="1:20" ht="15" customHeight="1" x14ac:dyDescent="0.3">
      <c r="A19" s="15">
        <v>3.8</v>
      </c>
      <c r="B19" s="15">
        <v>3.2</v>
      </c>
      <c r="C19" s="13">
        <v>1</v>
      </c>
      <c r="D19" s="12">
        <v>0.20899999999999999</v>
      </c>
      <c r="E19" s="14">
        <f>AVERAGE(D19:D33)</f>
        <v>0.3591333333333333</v>
      </c>
      <c r="F19" s="14">
        <f>_xlfn.VAR.S(D19:D33)</f>
        <v>1.9196266666666659E-2</v>
      </c>
      <c r="H19" s="15">
        <v>5.4</v>
      </c>
      <c r="I19" s="15">
        <v>2.8</v>
      </c>
      <c r="J19" s="13">
        <v>1</v>
      </c>
      <c r="K19" s="12">
        <v>0</v>
      </c>
      <c r="L19" s="14">
        <f>AVERAGE(K19:K33)</f>
        <v>0</v>
      </c>
      <c r="M19" s="14">
        <f>_xlfn.VAR.S(K19:K33)</f>
        <v>0</v>
      </c>
      <c r="O19" s="15">
        <v>5</v>
      </c>
      <c r="P19" s="15">
        <v>1.2</v>
      </c>
      <c r="Q19" s="13">
        <v>1</v>
      </c>
      <c r="R19" s="12">
        <v>0</v>
      </c>
      <c r="S19" s="14">
        <f>AVERAGE(R19:R33)</f>
        <v>0</v>
      </c>
      <c r="T19" s="14">
        <f>_xlfn.VAR.S(R19:R33)</f>
        <v>0</v>
      </c>
    </row>
    <row r="20" spans="1:20" ht="15" customHeight="1" x14ac:dyDescent="0.3">
      <c r="A20" s="15"/>
      <c r="B20" s="15"/>
      <c r="C20" s="13">
        <v>2</v>
      </c>
      <c r="D20" s="12">
        <v>0.35899999999999999</v>
      </c>
      <c r="E20" s="14"/>
      <c r="F20" s="14"/>
      <c r="H20" s="15"/>
      <c r="I20" s="15"/>
      <c r="J20" s="13">
        <v>2</v>
      </c>
      <c r="K20" s="12">
        <v>0</v>
      </c>
      <c r="L20" s="14"/>
      <c r="M20" s="14"/>
      <c r="O20" s="15"/>
      <c r="P20" s="15"/>
      <c r="Q20" s="13">
        <v>2</v>
      </c>
      <c r="R20" s="12">
        <v>0</v>
      </c>
      <c r="S20" s="14"/>
      <c r="T20" s="14"/>
    </row>
    <row r="21" spans="1:20" ht="15" customHeight="1" x14ac:dyDescent="0.3">
      <c r="A21" s="15"/>
      <c r="B21" s="15"/>
      <c r="C21" s="13">
        <v>3</v>
      </c>
      <c r="D21" s="12">
        <v>0.22</v>
      </c>
      <c r="E21" s="14"/>
      <c r="F21" s="14"/>
      <c r="H21" s="15"/>
      <c r="I21" s="15"/>
      <c r="J21" s="13">
        <v>3</v>
      </c>
      <c r="K21" s="12">
        <v>0</v>
      </c>
      <c r="L21" s="14"/>
      <c r="M21" s="14"/>
      <c r="O21" s="15"/>
      <c r="P21" s="15"/>
      <c r="Q21" s="13">
        <v>3</v>
      </c>
      <c r="R21" s="12">
        <v>0</v>
      </c>
      <c r="S21" s="14"/>
      <c r="T21" s="14"/>
    </row>
    <row r="22" spans="1:20" ht="15" customHeight="1" x14ac:dyDescent="0.3">
      <c r="A22" s="15"/>
      <c r="B22" s="15"/>
      <c r="C22" s="13">
        <v>4</v>
      </c>
      <c r="D22" s="12">
        <v>0.45100000000000001</v>
      </c>
      <c r="E22" s="14"/>
      <c r="F22" s="14"/>
      <c r="H22" s="15"/>
      <c r="I22" s="15"/>
      <c r="J22" s="13">
        <v>4</v>
      </c>
      <c r="K22" s="12">
        <v>0</v>
      </c>
      <c r="L22" s="14"/>
      <c r="M22" s="14"/>
      <c r="O22" s="15"/>
      <c r="P22" s="15"/>
      <c r="Q22" s="13">
        <v>4</v>
      </c>
      <c r="R22" s="12">
        <v>0</v>
      </c>
      <c r="S22" s="14"/>
      <c r="T22" s="14"/>
    </row>
    <row r="23" spans="1:20" ht="15" customHeight="1" x14ac:dyDescent="0.3">
      <c r="A23" s="15"/>
      <c r="B23" s="15"/>
      <c r="C23" s="13">
        <v>5</v>
      </c>
      <c r="D23" s="12">
        <v>0.16600000000000001</v>
      </c>
      <c r="E23" s="14"/>
      <c r="F23" s="14"/>
      <c r="H23" s="15"/>
      <c r="I23" s="15"/>
      <c r="J23" s="13">
        <v>5</v>
      </c>
      <c r="K23" s="12">
        <v>0</v>
      </c>
      <c r="L23" s="14"/>
      <c r="M23" s="14"/>
      <c r="O23" s="15"/>
      <c r="P23" s="15"/>
      <c r="Q23" s="13">
        <v>5</v>
      </c>
      <c r="R23" s="12">
        <v>0</v>
      </c>
      <c r="S23" s="14"/>
      <c r="T23" s="14"/>
    </row>
    <row r="24" spans="1:20" ht="15" customHeight="1" x14ac:dyDescent="0.3">
      <c r="A24" s="15"/>
      <c r="B24" s="15"/>
      <c r="C24" s="13">
        <v>6</v>
      </c>
      <c r="D24" s="12">
        <v>0.20599999999999999</v>
      </c>
      <c r="E24" s="14"/>
      <c r="F24" s="14"/>
      <c r="H24" s="15"/>
      <c r="I24" s="15"/>
      <c r="J24" s="13">
        <v>6</v>
      </c>
      <c r="K24" s="12">
        <v>0</v>
      </c>
      <c r="L24" s="14"/>
      <c r="M24" s="14"/>
      <c r="O24" s="15"/>
      <c r="P24" s="15"/>
      <c r="Q24" s="13">
        <v>6</v>
      </c>
      <c r="R24" s="12">
        <v>0</v>
      </c>
      <c r="S24" s="14"/>
      <c r="T24" s="14"/>
    </row>
    <row r="25" spans="1:20" ht="15" customHeight="1" x14ac:dyDescent="0.3">
      <c r="A25" s="15"/>
      <c r="B25" s="15"/>
      <c r="C25" s="13">
        <v>7</v>
      </c>
      <c r="D25" s="12">
        <v>0.41599999999999998</v>
      </c>
      <c r="E25" s="14"/>
      <c r="F25" s="14"/>
      <c r="H25" s="15"/>
      <c r="I25" s="15"/>
      <c r="J25" s="13">
        <v>7</v>
      </c>
      <c r="K25" s="12">
        <v>0</v>
      </c>
      <c r="L25" s="14"/>
      <c r="M25" s="14"/>
      <c r="O25" s="15"/>
      <c r="P25" s="15"/>
      <c r="Q25" s="13">
        <v>7</v>
      </c>
      <c r="R25" s="12">
        <v>0</v>
      </c>
      <c r="S25" s="14"/>
      <c r="T25" s="14"/>
    </row>
    <row r="26" spans="1:20" ht="15" customHeight="1" x14ac:dyDescent="0.3">
      <c r="A26" s="15"/>
      <c r="B26" s="15"/>
      <c r="C26" s="13">
        <v>8</v>
      </c>
      <c r="D26" s="12">
        <v>0.55100000000000005</v>
      </c>
      <c r="E26" s="14"/>
      <c r="F26" s="14"/>
      <c r="H26" s="15"/>
      <c r="I26" s="15"/>
      <c r="J26" s="13">
        <v>8</v>
      </c>
      <c r="K26" s="12">
        <v>0</v>
      </c>
      <c r="L26" s="14"/>
      <c r="M26" s="14"/>
      <c r="O26" s="15"/>
      <c r="P26" s="15"/>
      <c r="Q26" s="13">
        <v>8</v>
      </c>
      <c r="R26" s="12">
        <v>0</v>
      </c>
      <c r="S26" s="14"/>
      <c r="T26" s="14"/>
    </row>
    <row r="27" spans="1:20" ht="15" customHeight="1" x14ac:dyDescent="0.3">
      <c r="A27" s="15"/>
      <c r="B27" s="15"/>
      <c r="C27" s="13">
        <v>9</v>
      </c>
      <c r="D27" s="12">
        <v>0.35699999999999998</v>
      </c>
      <c r="E27" s="14"/>
      <c r="F27" s="14"/>
      <c r="H27" s="15"/>
      <c r="I27" s="15"/>
      <c r="J27" s="13">
        <v>9</v>
      </c>
      <c r="K27" s="12">
        <v>0</v>
      </c>
      <c r="L27" s="14"/>
      <c r="M27" s="14"/>
      <c r="O27" s="15"/>
      <c r="P27" s="15"/>
      <c r="Q27" s="13">
        <v>9</v>
      </c>
      <c r="R27" s="12">
        <v>0</v>
      </c>
      <c r="S27" s="14"/>
      <c r="T27" s="14"/>
    </row>
    <row r="28" spans="1:20" ht="15" customHeight="1" x14ac:dyDescent="0.3">
      <c r="A28" s="15"/>
      <c r="B28" s="15"/>
      <c r="C28" s="13">
        <v>10</v>
      </c>
      <c r="D28" s="12">
        <v>0.128</v>
      </c>
      <c r="E28" s="14"/>
      <c r="F28" s="14"/>
      <c r="H28" s="15"/>
      <c r="I28" s="15"/>
      <c r="J28" s="13">
        <v>10</v>
      </c>
      <c r="K28" s="12">
        <v>0</v>
      </c>
      <c r="L28" s="14"/>
      <c r="M28" s="14"/>
      <c r="O28" s="15"/>
      <c r="P28" s="15"/>
      <c r="Q28" s="13">
        <v>10</v>
      </c>
      <c r="R28" s="12">
        <v>0</v>
      </c>
      <c r="S28" s="14"/>
      <c r="T28" s="14"/>
    </row>
    <row r="29" spans="1:20" ht="15" customHeight="1" x14ac:dyDescent="0.3">
      <c r="A29" s="15"/>
      <c r="B29" s="15"/>
      <c r="C29" s="13">
        <v>11</v>
      </c>
      <c r="D29" s="12">
        <v>0.45400000000000001</v>
      </c>
      <c r="E29" s="14"/>
      <c r="F29" s="14"/>
      <c r="H29" s="15"/>
      <c r="I29" s="15"/>
      <c r="J29" s="13">
        <v>11</v>
      </c>
      <c r="K29" s="12">
        <v>0</v>
      </c>
      <c r="L29" s="14"/>
      <c r="M29" s="14"/>
      <c r="O29" s="15"/>
      <c r="P29" s="15"/>
      <c r="Q29" s="13">
        <v>11</v>
      </c>
      <c r="R29" s="12">
        <v>0</v>
      </c>
      <c r="S29" s="14"/>
      <c r="T29" s="14"/>
    </row>
    <row r="30" spans="1:20" ht="15" customHeight="1" x14ac:dyDescent="0.3">
      <c r="A30" s="15"/>
      <c r="B30" s="15"/>
      <c r="C30" s="13">
        <v>12</v>
      </c>
      <c r="D30" s="12">
        <v>0.48399999999999999</v>
      </c>
      <c r="E30" s="14"/>
      <c r="F30" s="14"/>
      <c r="H30" s="15"/>
      <c r="I30" s="15"/>
      <c r="J30" s="13">
        <v>12</v>
      </c>
      <c r="K30" s="12">
        <v>0</v>
      </c>
      <c r="L30" s="14"/>
      <c r="M30" s="14"/>
      <c r="O30" s="15"/>
      <c r="P30" s="15"/>
      <c r="Q30" s="13">
        <v>12</v>
      </c>
      <c r="R30" s="12">
        <v>0</v>
      </c>
      <c r="S30" s="14"/>
      <c r="T30" s="14"/>
    </row>
    <row r="31" spans="1:20" ht="15" customHeight="1" x14ac:dyDescent="0.3">
      <c r="A31" s="15"/>
      <c r="B31" s="15"/>
      <c r="C31" s="13">
        <v>13</v>
      </c>
      <c r="D31" s="12">
        <v>0.52700000000000002</v>
      </c>
      <c r="E31" s="14"/>
      <c r="F31" s="14"/>
      <c r="H31" s="15"/>
      <c r="I31" s="15"/>
      <c r="J31" s="13">
        <v>13</v>
      </c>
      <c r="K31" s="12">
        <v>0</v>
      </c>
      <c r="L31" s="14"/>
      <c r="M31" s="14"/>
      <c r="O31" s="15"/>
      <c r="P31" s="15"/>
      <c r="Q31" s="13">
        <v>13</v>
      </c>
      <c r="R31" s="12">
        <v>0</v>
      </c>
      <c r="S31" s="14"/>
      <c r="T31" s="14"/>
    </row>
    <row r="32" spans="1:20" ht="15" customHeight="1" x14ac:dyDescent="0.3">
      <c r="A32" s="15"/>
      <c r="B32" s="15"/>
      <c r="C32" s="13">
        <v>14</v>
      </c>
      <c r="D32" s="12">
        <v>0.40200000000000002</v>
      </c>
      <c r="E32" s="14"/>
      <c r="F32" s="14"/>
      <c r="H32" s="15"/>
      <c r="I32" s="15"/>
      <c r="J32" s="13">
        <v>14</v>
      </c>
      <c r="K32" s="12">
        <v>0</v>
      </c>
      <c r="L32" s="14"/>
      <c r="M32" s="14"/>
      <c r="O32" s="15"/>
      <c r="P32" s="15"/>
      <c r="Q32" s="13">
        <v>14</v>
      </c>
      <c r="R32" s="12">
        <v>0</v>
      </c>
      <c r="S32" s="14"/>
      <c r="T32" s="14"/>
    </row>
    <row r="33" spans="1:20" ht="15" customHeight="1" x14ac:dyDescent="0.3">
      <c r="A33" s="15"/>
      <c r="B33" s="15"/>
      <c r="C33" s="13">
        <v>15</v>
      </c>
      <c r="D33" s="12">
        <v>0.45700000000000002</v>
      </c>
      <c r="E33" s="14"/>
      <c r="F33" s="14"/>
      <c r="H33" s="15"/>
      <c r="I33" s="15"/>
      <c r="J33" s="13">
        <v>15</v>
      </c>
      <c r="K33" s="12">
        <v>0</v>
      </c>
      <c r="L33" s="14"/>
      <c r="M33" s="14"/>
      <c r="O33" s="15"/>
      <c r="P33" s="15"/>
      <c r="Q33" s="13">
        <v>15</v>
      </c>
      <c r="R33" s="12">
        <v>0</v>
      </c>
      <c r="S33" s="14"/>
      <c r="T33" s="14"/>
    </row>
  </sheetData>
  <mergeCells count="24">
    <mergeCell ref="T19:T33"/>
    <mergeCell ref="A19:A33"/>
    <mergeCell ref="B19:B33"/>
    <mergeCell ref="E19:E33"/>
    <mergeCell ref="F19:F33"/>
    <mergeCell ref="H19:H33"/>
    <mergeCell ref="I19:I33"/>
    <mergeCell ref="L19:L33"/>
    <mergeCell ref="M19:M33"/>
    <mergeCell ref="O19:O33"/>
    <mergeCell ref="P19:P33"/>
    <mergeCell ref="S19:S33"/>
    <mergeCell ref="T2:T16"/>
    <mergeCell ref="A2:A16"/>
    <mergeCell ref="B2:B16"/>
    <mergeCell ref="E2:E16"/>
    <mergeCell ref="F2:F16"/>
    <mergeCell ref="H2:H16"/>
    <mergeCell ref="I2:I16"/>
    <mergeCell ref="L2:L16"/>
    <mergeCell ref="M2:M16"/>
    <mergeCell ref="O2:O16"/>
    <mergeCell ref="P2:P16"/>
    <mergeCell ref="S2:S16"/>
  </mergeCells>
  <phoneticPr fontId="1" type="noConversion"/>
  <conditionalFormatting sqref="D2:D1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D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1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984F4-6496-449E-8ACC-A6CBF0D95107}">
  <dimension ref="A1:T35"/>
  <sheetViews>
    <sheetView zoomScale="85" zoomScaleNormal="85" workbookViewId="0">
      <selection activeCell="W17" sqref="W17"/>
    </sheetView>
  </sheetViews>
  <sheetFormatPr defaultColWidth="10.75" defaultRowHeight="15" customHeight="1" x14ac:dyDescent="0.3"/>
  <cols>
    <col min="1" max="16384" width="10.75" style="10"/>
  </cols>
  <sheetData>
    <row r="1" spans="1:20" ht="15" customHeight="1" x14ac:dyDescent="0.3">
      <c r="A1" s="11" t="s">
        <v>62</v>
      </c>
      <c r="B1" s="11" t="s">
        <v>63</v>
      </c>
      <c r="C1" s="11" t="s">
        <v>64</v>
      </c>
      <c r="D1" s="11" t="s">
        <v>65</v>
      </c>
      <c r="E1" s="11" t="s">
        <v>66</v>
      </c>
      <c r="F1" s="11" t="s">
        <v>67</v>
      </c>
      <c r="H1" s="11" t="s">
        <v>62</v>
      </c>
      <c r="I1" s="11" t="s">
        <v>63</v>
      </c>
      <c r="J1" s="11" t="s">
        <v>64</v>
      </c>
      <c r="K1" s="11" t="s">
        <v>65</v>
      </c>
      <c r="L1" s="11" t="s">
        <v>66</v>
      </c>
      <c r="M1" s="11" t="s">
        <v>67</v>
      </c>
      <c r="O1" s="11" t="s">
        <v>62</v>
      </c>
      <c r="P1" s="11" t="s">
        <v>63</v>
      </c>
      <c r="Q1" s="11" t="s">
        <v>64</v>
      </c>
      <c r="R1" s="11" t="s">
        <v>65</v>
      </c>
      <c r="S1" s="11" t="s">
        <v>66</v>
      </c>
      <c r="T1" s="11" t="s">
        <v>67</v>
      </c>
    </row>
    <row r="2" spans="1:20" ht="15" customHeight="1" x14ac:dyDescent="0.3">
      <c r="A2" s="15">
        <v>4.5999999999999996</v>
      </c>
      <c r="B2" s="15">
        <v>2.4</v>
      </c>
      <c r="C2" s="13">
        <v>1</v>
      </c>
      <c r="D2" s="12">
        <v>4.4539999999999997</v>
      </c>
      <c r="E2" s="14">
        <f>AVERAGE(D2:D16)</f>
        <v>4.2527999999999988</v>
      </c>
      <c r="F2" s="14">
        <f>_xlfn.VAR.S(D2:D16)</f>
        <v>0.1096726</v>
      </c>
      <c r="H2" s="15">
        <v>3.8</v>
      </c>
      <c r="I2" s="15">
        <v>2.4</v>
      </c>
      <c r="J2" s="13">
        <v>1</v>
      </c>
      <c r="K2" s="12">
        <v>2.5819999999999999</v>
      </c>
      <c r="L2" s="14">
        <f>AVERAGE(K2:K16)</f>
        <v>3.039133333333333</v>
      </c>
      <c r="M2" s="14">
        <f>_xlfn.VAR.S(K2:K16)</f>
        <v>0.13031983809523645</v>
      </c>
      <c r="O2" s="15">
        <v>4.2</v>
      </c>
      <c r="P2" s="15">
        <v>1.6</v>
      </c>
      <c r="Q2" s="13">
        <v>1</v>
      </c>
      <c r="R2" s="12">
        <v>0.188</v>
      </c>
      <c r="S2" s="14">
        <f>AVERAGE(R2:R16)</f>
        <v>0.12266666666666667</v>
      </c>
      <c r="T2" s="14">
        <f>_xlfn.VAR.S(R2:R16)</f>
        <v>1.1901666666666668E-2</v>
      </c>
    </row>
    <row r="3" spans="1:20" ht="15" customHeight="1" x14ac:dyDescent="0.3">
      <c r="A3" s="15"/>
      <c r="B3" s="15"/>
      <c r="C3" s="13">
        <v>2</v>
      </c>
      <c r="D3" s="12">
        <v>4.58</v>
      </c>
      <c r="E3" s="14"/>
      <c r="F3" s="14"/>
      <c r="H3" s="15"/>
      <c r="I3" s="15"/>
      <c r="J3" s="13">
        <v>2</v>
      </c>
      <c r="K3" s="12">
        <v>2.798</v>
      </c>
      <c r="L3" s="14"/>
      <c r="M3" s="14"/>
      <c r="O3" s="15"/>
      <c r="P3" s="15"/>
      <c r="Q3" s="13">
        <v>2</v>
      </c>
      <c r="R3" s="12">
        <v>0.218</v>
      </c>
      <c r="S3" s="14"/>
      <c r="T3" s="14"/>
    </row>
    <row r="4" spans="1:20" ht="15" customHeight="1" x14ac:dyDescent="0.3">
      <c r="A4" s="15"/>
      <c r="B4" s="15"/>
      <c r="C4" s="13">
        <v>3</v>
      </c>
      <c r="D4" s="12">
        <v>4.4950000000000001</v>
      </c>
      <c r="E4" s="14"/>
      <c r="F4" s="14"/>
      <c r="H4" s="15"/>
      <c r="I4" s="15"/>
      <c r="J4" s="13">
        <v>3</v>
      </c>
      <c r="K4" s="12">
        <v>3.0150000000000001</v>
      </c>
      <c r="L4" s="14"/>
      <c r="M4" s="14"/>
      <c r="O4" s="15"/>
      <c r="P4" s="15"/>
      <c r="Q4" s="13">
        <v>3</v>
      </c>
      <c r="R4" s="12">
        <v>0.28399999999999997</v>
      </c>
      <c r="S4" s="14"/>
      <c r="T4" s="14"/>
    </row>
    <row r="5" spans="1:20" ht="15" customHeight="1" x14ac:dyDescent="0.3">
      <c r="A5" s="15"/>
      <c r="B5" s="15"/>
      <c r="C5" s="13">
        <v>4</v>
      </c>
      <c r="D5" s="12">
        <v>4.7919999999999998</v>
      </c>
      <c r="E5" s="14"/>
      <c r="F5" s="14"/>
      <c r="H5" s="15"/>
      <c r="I5" s="15"/>
      <c r="J5" s="13">
        <v>4</v>
      </c>
      <c r="K5" s="12">
        <v>2.8540000000000001</v>
      </c>
      <c r="L5" s="14"/>
      <c r="M5" s="14"/>
      <c r="O5" s="15"/>
      <c r="P5" s="15"/>
      <c r="Q5" s="13">
        <v>4</v>
      </c>
      <c r="R5" s="12">
        <v>6.5000000000000002E-2</v>
      </c>
      <c r="S5" s="14"/>
      <c r="T5" s="14"/>
    </row>
    <row r="6" spans="1:20" ht="15" customHeight="1" x14ac:dyDescent="0.3">
      <c r="A6" s="15"/>
      <c r="B6" s="15"/>
      <c r="C6" s="13">
        <v>5</v>
      </c>
      <c r="D6" s="12">
        <v>4.641</v>
      </c>
      <c r="E6" s="14"/>
      <c r="F6" s="14"/>
      <c r="H6" s="15"/>
      <c r="I6" s="15"/>
      <c r="J6" s="13">
        <v>5</v>
      </c>
      <c r="K6" s="12">
        <v>3.3660000000000001</v>
      </c>
      <c r="L6" s="14"/>
      <c r="M6" s="14"/>
      <c r="O6" s="15"/>
      <c r="P6" s="15"/>
      <c r="Q6" s="13">
        <v>5</v>
      </c>
      <c r="R6" s="12">
        <v>2.1999999999999999E-2</v>
      </c>
      <c r="S6" s="14"/>
      <c r="T6" s="14"/>
    </row>
    <row r="7" spans="1:20" ht="15" customHeight="1" x14ac:dyDescent="0.3">
      <c r="A7" s="15"/>
      <c r="B7" s="15"/>
      <c r="C7" s="13">
        <v>6</v>
      </c>
      <c r="D7" s="12">
        <v>4.6100000000000003</v>
      </c>
      <c r="E7" s="14"/>
      <c r="F7" s="14"/>
      <c r="H7" s="15"/>
      <c r="I7" s="15"/>
      <c r="J7" s="13">
        <v>6</v>
      </c>
      <c r="K7" s="12">
        <v>2.5720000000000001</v>
      </c>
      <c r="L7" s="14"/>
      <c r="M7" s="14"/>
      <c r="O7" s="15"/>
      <c r="P7" s="15"/>
      <c r="Q7" s="13">
        <v>6</v>
      </c>
      <c r="R7" s="12">
        <v>7.0000000000000001E-3</v>
      </c>
      <c r="S7" s="14"/>
      <c r="T7" s="14"/>
    </row>
    <row r="8" spans="1:20" ht="15" customHeight="1" x14ac:dyDescent="0.3">
      <c r="A8" s="15"/>
      <c r="B8" s="15"/>
      <c r="C8" s="13">
        <v>7</v>
      </c>
      <c r="D8" s="12">
        <v>3.8359999999999999</v>
      </c>
      <c r="E8" s="14"/>
      <c r="F8" s="14"/>
      <c r="H8" s="15"/>
      <c r="I8" s="15"/>
      <c r="J8" s="13">
        <v>7</v>
      </c>
      <c r="K8" s="12">
        <v>3.056</v>
      </c>
      <c r="L8" s="14"/>
      <c r="M8" s="14"/>
      <c r="O8" s="15"/>
      <c r="P8" s="15"/>
      <c r="Q8" s="13">
        <v>7</v>
      </c>
      <c r="R8" s="12">
        <v>6.0000000000000001E-3</v>
      </c>
      <c r="S8" s="14"/>
      <c r="T8" s="14"/>
    </row>
    <row r="9" spans="1:20" ht="15" customHeight="1" x14ac:dyDescent="0.3">
      <c r="A9" s="15"/>
      <c r="B9" s="15"/>
      <c r="C9" s="13">
        <v>8</v>
      </c>
      <c r="D9" s="12">
        <v>4.2229999999999999</v>
      </c>
      <c r="E9" s="14"/>
      <c r="F9" s="14"/>
      <c r="H9" s="15"/>
      <c r="I9" s="15"/>
      <c r="J9" s="13">
        <v>8</v>
      </c>
      <c r="K9" s="12">
        <v>2.7090000000000001</v>
      </c>
      <c r="L9" s="14"/>
      <c r="M9" s="14"/>
      <c r="O9" s="15"/>
      <c r="P9" s="15"/>
      <c r="Q9" s="13">
        <v>8</v>
      </c>
      <c r="R9" s="12">
        <v>7.4999999999999997E-2</v>
      </c>
      <c r="S9" s="14"/>
      <c r="T9" s="14"/>
    </row>
    <row r="10" spans="1:20" ht="15" customHeight="1" x14ac:dyDescent="0.3">
      <c r="A10" s="15"/>
      <c r="B10" s="15"/>
      <c r="C10" s="13">
        <v>9</v>
      </c>
      <c r="D10" s="12">
        <v>3.8610000000000002</v>
      </c>
      <c r="E10" s="14"/>
      <c r="F10" s="14"/>
      <c r="H10" s="15"/>
      <c r="I10" s="15"/>
      <c r="J10" s="13">
        <v>9</v>
      </c>
      <c r="K10" s="12">
        <v>3.0750000000000002</v>
      </c>
      <c r="L10" s="14"/>
      <c r="M10" s="14"/>
      <c r="O10" s="15"/>
      <c r="P10" s="15"/>
      <c r="Q10" s="13">
        <v>9</v>
      </c>
      <c r="R10" s="12">
        <v>4.4999999999999998E-2</v>
      </c>
      <c r="S10" s="14"/>
      <c r="T10" s="14"/>
    </row>
    <row r="11" spans="1:20" ht="15" customHeight="1" x14ac:dyDescent="0.3">
      <c r="A11" s="15"/>
      <c r="B11" s="15"/>
      <c r="C11" s="13">
        <v>10</v>
      </c>
      <c r="D11" s="12">
        <v>3.7040000000000002</v>
      </c>
      <c r="E11" s="14"/>
      <c r="F11" s="14"/>
      <c r="H11" s="15"/>
      <c r="I11" s="15"/>
      <c r="J11" s="13">
        <v>10</v>
      </c>
      <c r="K11" s="12">
        <v>2.9039999999999999</v>
      </c>
      <c r="L11" s="14"/>
      <c r="M11" s="14"/>
      <c r="O11" s="15"/>
      <c r="P11" s="15"/>
      <c r="Q11" s="13">
        <v>10</v>
      </c>
      <c r="R11" s="12">
        <v>0.23400000000000001</v>
      </c>
      <c r="S11" s="14"/>
      <c r="T11" s="14"/>
    </row>
    <row r="12" spans="1:20" ht="15" customHeight="1" x14ac:dyDescent="0.3">
      <c r="A12" s="15"/>
      <c r="B12" s="15"/>
      <c r="C12" s="13">
        <v>11</v>
      </c>
      <c r="D12" s="12">
        <v>4.2119999999999997</v>
      </c>
      <c r="E12" s="14"/>
      <c r="F12" s="14"/>
      <c r="H12" s="15"/>
      <c r="I12" s="15"/>
      <c r="J12" s="13">
        <v>11</v>
      </c>
      <c r="K12" s="12">
        <v>3.3410000000000002</v>
      </c>
      <c r="L12" s="14"/>
      <c r="M12" s="14"/>
      <c r="O12" s="15"/>
      <c r="P12" s="15"/>
      <c r="Q12" s="13">
        <v>11</v>
      </c>
      <c r="R12" s="12">
        <v>0.34100000000000003</v>
      </c>
      <c r="S12" s="14"/>
      <c r="T12" s="14"/>
    </row>
    <row r="13" spans="1:20" ht="15" customHeight="1" x14ac:dyDescent="0.3">
      <c r="A13" s="15"/>
      <c r="B13" s="15"/>
      <c r="C13" s="13">
        <v>12</v>
      </c>
      <c r="D13" s="12">
        <v>4.1740000000000004</v>
      </c>
      <c r="E13" s="14"/>
      <c r="F13" s="14"/>
      <c r="H13" s="15"/>
      <c r="I13" s="15"/>
      <c r="J13" s="13">
        <v>12</v>
      </c>
      <c r="K13" s="12">
        <v>2.8319999999999999</v>
      </c>
      <c r="L13" s="14"/>
      <c r="M13" s="14"/>
      <c r="O13" s="15"/>
      <c r="P13" s="15"/>
      <c r="Q13" s="13">
        <v>12</v>
      </c>
      <c r="R13" s="12">
        <v>0.16500000000000001</v>
      </c>
      <c r="S13" s="14"/>
      <c r="T13" s="14"/>
    </row>
    <row r="14" spans="1:20" ht="15" customHeight="1" x14ac:dyDescent="0.3">
      <c r="A14" s="15"/>
      <c r="B14" s="15"/>
      <c r="C14" s="13">
        <v>13</v>
      </c>
      <c r="D14" s="12">
        <v>4.1689999999999996</v>
      </c>
      <c r="E14" s="14"/>
      <c r="F14" s="14"/>
      <c r="H14" s="15"/>
      <c r="I14" s="15"/>
      <c r="J14" s="13">
        <v>13</v>
      </c>
      <c r="K14" s="12">
        <v>3.504</v>
      </c>
      <c r="L14" s="14"/>
      <c r="M14" s="14"/>
      <c r="O14" s="15"/>
      <c r="P14" s="15"/>
      <c r="Q14" s="13">
        <v>13</v>
      </c>
      <c r="R14" s="12">
        <v>0.1</v>
      </c>
      <c r="S14" s="14"/>
      <c r="T14" s="14"/>
    </row>
    <row r="15" spans="1:20" ht="15" customHeight="1" x14ac:dyDescent="0.3">
      <c r="A15" s="15"/>
      <c r="B15" s="15"/>
      <c r="C15" s="13">
        <v>14</v>
      </c>
      <c r="D15" s="12">
        <v>3.9569999999999999</v>
      </c>
      <c r="E15" s="14"/>
      <c r="F15" s="14"/>
      <c r="H15" s="15"/>
      <c r="I15" s="15"/>
      <c r="J15" s="13">
        <v>14</v>
      </c>
      <c r="K15" s="12">
        <v>3.0939999999999999</v>
      </c>
      <c r="L15" s="14"/>
      <c r="M15" s="14"/>
      <c r="O15" s="15"/>
      <c r="P15" s="15"/>
      <c r="Q15" s="13">
        <v>14</v>
      </c>
      <c r="R15" s="12">
        <v>0</v>
      </c>
      <c r="S15" s="14"/>
      <c r="T15" s="14"/>
    </row>
    <row r="16" spans="1:20" ht="15" customHeight="1" x14ac:dyDescent="0.3">
      <c r="A16" s="15"/>
      <c r="B16" s="15"/>
      <c r="C16" s="13">
        <v>15</v>
      </c>
      <c r="D16" s="12">
        <v>4.0839999999999996</v>
      </c>
      <c r="E16" s="14"/>
      <c r="F16" s="14"/>
      <c r="H16" s="15"/>
      <c r="I16" s="15"/>
      <c r="J16" s="13">
        <v>15</v>
      </c>
      <c r="K16" s="12">
        <v>3.8849999999999998</v>
      </c>
      <c r="L16" s="14"/>
      <c r="M16" s="14"/>
      <c r="O16" s="15"/>
      <c r="P16" s="15"/>
      <c r="Q16" s="13">
        <v>15</v>
      </c>
      <c r="R16" s="12">
        <v>0.09</v>
      </c>
      <c r="S16" s="14"/>
      <c r="T16" s="14"/>
    </row>
    <row r="18" spans="1:20" ht="15" customHeight="1" x14ac:dyDescent="0.3">
      <c r="A18" s="11" t="s">
        <v>62</v>
      </c>
      <c r="B18" s="11" t="s">
        <v>63</v>
      </c>
      <c r="C18" s="11" t="s">
        <v>64</v>
      </c>
      <c r="D18" s="11" t="s">
        <v>65</v>
      </c>
      <c r="E18" s="11" t="s">
        <v>66</v>
      </c>
      <c r="F18" s="11" t="s">
        <v>67</v>
      </c>
      <c r="H18" s="11" t="s">
        <v>62</v>
      </c>
      <c r="I18" s="11" t="s">
        <v>63</v>
      </c>
      <c r="J18" s="11" t="s">
        <v>64</v>
      </c>
      <c r="K18" s="11" t="s">
        <v>65</v>
      </c>
      <c r="L18" s="11" t="s">
        <v>66</v>
      </c>
      <c r="M18" s="11" t="s">
        <v>67</v>
      </c>
      <c r="O18" s="11" t="s">
        <v>62</v>
      </c>
      <c r="P18" s="11" t="s">
        <v>63</v>
      </c>
      <c r="Q18" s="11" t="s">
        <v>64</v>
      </c>
      <c r="R18" s="11" t="s">
        <v>65</v>
      </c>
      <c r="S18" s="11" t="s">
        <v>66</v>
      </c>
      <c r="T18" s="11" t="s">
        <v>67</v>
      </c>
    </row>
    <row r="19" spans="1:20" ht="15" customHeight="1" x14ac:dyDescent="0.3">
      <c r="A19" s="15">
        <v>3.8</v>
      </c>
      <c r="B19" s="15">
        <v>3.2</v>
      </c>
      <c r="C19" s="13">
        <v>1</v>
      </c>
      <c r="D19" s="12">
        <v>0.373</v>
      </c>
      <c r="E19" s="14">
        <f>AVERAGE(D19:D33)</f>
        <v>0.1948</v>
      </c>
      <c r="F19" s="14">
        <f>_xlfn.VAR.S(D19:D33)</f>
        <v>1.201988571428571E-2</v>
      </c>
      <c r="H19" s="15">
        <v>5.4</v>
      </c>
      <c r="I19" s="15">
        <v>2.8</v>
      </c>
      <c r="J19" s="13">
        <v>1</v>
      </c>
      <c r="K19" s="12">
        <v>0</v>
      </c>
      <c r="L19" s="14">
        <f>AVERAGE(K19:K33)</f>
        <v>0</v>
      </c>
      <c r="M19" s="14">
        <f>_xlfn.VAR.S(K19:K33)</f>
        <v>0</v>
      </c>
      <c r="O19" s="15">
        <v>5</v>
      </c>
      <c r="P19" s="15">
        <v>1.2</v>
      </c>
      <c r="Q19" s="13">
        <v>1</v>
      </c>
      <c r="R19" s="12">
        <v>0</v>
      </c>
      <c r="S19" s="14">
        <f>AVERAGE(R19:R33)</f>
        <v>0</v>
      </c>
      <c r="T19" s="14">
        <f>_xlfn.VAR.S(R19:R33)</f>
        <v>0</v>
      </c>
    </row>
    <row r="20" spans="1:20" ht="15" customHeight="1" x14ac:dyDescent="0.3">
      <c r="A20" s="15"/>
      <c r="B20" s="15"/>
      <c r="C20" s="13">
        <v>2</v>
      </c>
      <c r="D20" s="12">
        <v>0.314</v>
      </c>
      <c r="E20" s="14"/>
      <c r="F20" s="14"/>
      <c r="H20" s="15"/>
      <c r="I20" s="15"/>
      <c r="J20" s="13">
        <v>2</v>
      </c>
      <c r="K20" s="12">
        <v>0</v>
      </c>
      <c r="L20" s="14"/>
      <c r="M20" s="14"/>
      <c r="O20" s="15"/>
      <c r="P20" s="15"/>
      <c r="Q20" s="13">
        <v>2</v>
      </c>
      <c r="R20" s="12">
        <v>0</v>
      </c>
      <c r="S20" s="14"/>
      <c r="T20" s="14"/>
    </row>
    <row r="21" spans="1:20" ht="15" customHeight="1" x14ac:dyDescent="0.3">
      <c r="A21" s="15"/>
      <c r="B21" s="15"/>
      <c r="C21" s="13">
        <v>3</v>
      </c>
      <c r="D21" s="12">
        <v>6.8000000000000005E-2</v>
      </c>
      <c r="E21" s="14"/>
      <c r="F21" s="14"/>
      <c r="H21" s="15"/>
      <c r="I21" s="15"/>
      <c r="J21" s="13">
        <v>3</v>
      </c>
      <c r="K21" s="12">
        <v>0</v>
      </c>
      <c r="L21" s="14"/>
      <c r="M21" s="14"/>
      <c r="O21" s="15"/>
      <c r="P21" s="15"/>
      <c r="Q21" s="13">
        <v>3</v>
      </c>
      <c r="R21" s="12">
        <v>0</v>
      </c>
      <c r="S21" s="14"/>
      <c r="T21" s="14"/>
    </row>
    <row r="22" spans="1:20" ht="15" customHeight="1" x14ac:dyDescent="0.3">
      <c r="A22" s="15"/>
      <c r="B22" s="15"/>
      <c r="C22" s="13">
        <v>4</v>
      </c>
      <c r="D22" s="12">
        <v>0.25</v>
      </c>
      <c r="E22" s="14"/>
      <c r="F22" s="14"/>
      <c r="H22" s="15"/>
      <c r="I22" s="15"/>
      <c r="J22" s="13">
        <v>4</v>
      </c>
      <c r="K22" s="12">
        <v>0</v>
      </c>
      <c r="L22" s="14"/>
      <c r="M22" s="14"/>
      <c r="O22" s="15"/>
      <c r="P22" s="15"/>
      <c r="Q22" s="13">
        <v>4</v>
      </c>
      <c r="R22" s="12">
        <v>0</v>
      </c>
      <c r="S22" s="14"/>
      <c r="T22" s="14"/>
    </row>
    <row r="23" spans="1:20" ht="15" customHeight="1" x14ac:dyDescent="0.3">
      <c r="A23" s="15"/>
      <c r="B23" s="15"/>
      <c r="C23" s="13">
        <v>5</v>
      </c>
      <c r="D23" s="12">
        <v>0.14199999999999999</v>
      </c>
      <c r="E23" s="14"/>
      <c r="F23" s="14"/>
      <c r="H23" s="15"/>
      <c r="I23" s="15"/>
      <c r="J23" s="13">
        <v>5</v>
      </c>
      <c r="K23" s="12">
        <v>0</v>
      </c>
      <c r="L23" s="14"/>
      <c r="M23" s="14"/>
      <c r="O23" s="15"/>
      <c r="P23" s="15"/>
      <c r="Q23" s="13">
        <v>5</v>
      </c>
      <c r="R23" s="12">
        <v>0</v>
      </c>
      <c r="S23" s="14"/>
      <c r="T23" s="14"/>
    </row>
    <row r="24" spans="1:20" ht="15" customHeight="1" x14ac:dyDescent="0.3">
      <c r="A24" s="15"/>
      <c r="B24" s="15"/>
      <c r="C24" s="13">
        <v>6</v>
      </c>
      <c r="D24" s="12">
        <v>0.16500000000000001</v>
      </c>
      <c r="E24" s="14"/>
      <c r="F24" s="14"/>
      <c r="H24" s="15"/>
      <c r="I24" s="15"/>
      <c r="J24" s="13">
        <v>6</v>
      </c>
      <c r="K24" s="12">
        <v>0</v>
      </c>
      <c r="L24" s="14"/>
      <c r="M24" s="14"/>
      <c r="O24" s="15"/>
      <c r="P24" s="15"/>
      <c r="Q24" s="13">
        <v>6</v>
      </c>
      <c r="R24" s="12">
        <v>0</v>
      </c>
      <c r="S24" s="14"/>
      <c r="T24" s="14"/>
    </row>
    <row r="25" spans="1:20" ht="15" customHeight="1" x14ac:dyDescent="0.3">
      <c r="A25" s="15"/>
      <c r="B25" s="15"/>
      <c r="C25" s="13">
        <v>7</v>
      </c>
      <c r="D25" s="12">
        <v>0.249</v>
      </c>
      <c r="E25" s="14"/>
      <c r="F25" s="14"/>
      <c r="H25" s="15"/>
      <c r="I25" s="15"/>
      <c r="J25" s="13">
        <v>7</v>
      </c>
      <c r="K25" s="12">
        <v>0</v>
      </c>
      <c r="L25" s="14"/>
      <c r="M25" s="14"/>
      <c r="O25" s="15"/>
      <c r="P25" s="15"/>
      <c r="Q25" s="13">
        <v>7</v>
      </c>
      <c r="R25" s="12">
        <v>0</v>
      </c>
      <c r="S25" s="14"/>
      <c r="T25" s="14"/>
    </row>
    <row r="26" spans="1:20" ht="15" customHeight="1" x14ac:dyDescent="0.3">
      <c r="A26" s="15"/>
      <c r="B26" s="15"/>
      <c r="C26" s="13">
        <v>8</v>
      </c>
      <c r="D26" s="12">
        <v>0.13100000000000001</v>
      </c>
      <c r="E26" s="14"/>
      <c r="F26" s="14"/>
      <c r="H26" s="15"/>
      <c r="I26" s="15"/>
      <c r="J26" s="13">
        <v>8</v>
      </c>
      <c r="K26" s="12">
        <v>0</v>
      </c>
      <c r="L26" s="14"/>
      <c r="M26" s="14"/>
      <c r="O26" s="15"/>
      <c r="P26" s="15"/>
      <c r="Q26" s="13">
        <v>8</v>
      </c>
      <c r="R26" s="12">
        <v>0</v>
      </c>
      <c r="S26" s="14"/>
      <c r="T26" s="14"/>
    </row>
    <row r="27" spans="1:20" ht="15" customHeight="1" x14ac:dyDescent="0.3">
      <c r="A27" s="15"/>
      <c r="B27" s="15"/>
      <c r="C27" s="13">
        <v>9</v>
      </c>
      <c r="D27" s="12">
        <v>6.7000000000000004E-2</v>
      </c>
      <c r="E27" s="14"/>
      <c r="F27" s="14"/>
      <c r="H27" s="15"/>
      <c r="I27" s="15"/>
      <c r="J27" s="13">
        <v>9</v>
      </c>
      <c r="K27" s="12">
        <v>0</v>
      </c>
      <c r="L27" s="14"/>
      <c r="M27" s="14"/>
      <c r="O27" s="15"/>
      <c r="P27" s="15"/>
      <c r="Q27" s="13">
        <v>9</v>
      </c>
      <c r="R27" s="12">
        <v>0</v>
      </c>
      <c r="S27" s="14"/>
      <c r="T27" s="14"/>
    </row>
    <row r="28" spans="1:20" ht="15" customHeight="1" x14ac:dyDescent="0.3">
      <c r="A28" s="15"/>
      <c r="B28" s="15"/>
      <c r="C28" s="13">
        <v>10</v>
      </c>
      <c r="D28" s="12">
        <v>0.111</v>
      </c>
      <c r="E28" s="14"/>
      <c r="F28" s="14"/>
      <c r="H28" s="15"/>
      <c r="I28" s="15"/>
      <c r="J28" s="13">
        <v>10</v>
      </c>
      <c r="K28" s="12">
        <v>0</v>
      </c>
      <c r="L28" s="14"/>
      <c r="M28" s="14"/>
      <c r="O28" s="15"/>
      <c r="P28" s="15"/>
      <c r="Q28" s="13">
        <v>10</v>
      </c>
      <c r="R28" s="12">
        <v>0</v>
      </c>
      <c r="S28" s="14"/>
      <c r="T28" s="14"/>
    </row>
    <row r="29" spans="1:20" ht="15" customHeight="1" x14ac:dyDescent="0.3">
      <c r="A29" s="15"/>
      <c r="B29" s="15"/>
      <c r="C29" s="13">
        <v>11</v>
      </c>
      <c r="D29" s="12">
        <v>0.13300000000000001</v>
      </c>
      <c r="E29" s="14"/>
      <c r="F29" s="14"/>
      <c r="H29" s="15"/>
      <c r="I29" s="15"/>
      <c r="J29" s="13">
        <v>11</v>
      </c>
      <c r="K29" s="12">
        <v>0</v>
      </c>
      <c r="L29" s="14"/>
      <c r="M29" s="14"/>
      <c r="O29" s="15"/>
      <c r="P29" s="15"/>
      <c r="Q29" s="13">
        <v>11</v>
      </c>
      <c r="R29" s="12">
        <v>0</v>
      </c>
      <c r="S29" s="14"/>
      <c r="T29" s="14"/>
    </row>
    <row r="30" spans="1:20" ht="15" customHeight="1" x14ac:dyDescent="0.3">
      <c r="A30" s="15"/>
      <c r="B30" s="15"/>
      <c r="C30" s="13">
        <v>12</v>
      </c>
      <c r="D30" s="12">
        <v>6.4000000000000001E-2</v>
      </c>
      <c r="E30" s="14"/>
      <c r="F30" s="14"/>
      <c r="H30" s="15"/>
      <c r="I30" s="15"/>
      <c r="J30" s="13">
        <v>12</v>
      </c>
      <c r="K30" s="12">
        <v>0</v>
      </c>
      <c r="L30" s="14"/>
      <c r="M30" s="14"/>
      <c r="O30" s="15"/>
      <c r="P30" s="15"/>
      <c r="Q30" s="13">
        <v>12</v>
      </c>
      <c r="R30" s="12">
        <v>0</v>
      </c>
      <c r="S30" s="14"/>
      <c r="T30" s="14"/>
    </row>
    <row r="31" spans="1:20" ht="15" customHeight="1" x14ac:dyDescent="0.3">
      <c r="A31" s="15"/>
      <c r="B31" s="15"/>
      <c r="C31" s="13">
        <v>13</v>
      </c>
      <c r="D31" s="12">
        <v>0.186</v>
      </c>
      <c r="E31" s="14"/>
      <c r="F31" s="14"/>
      <c r="H31" s="15"/>
      <c r="I31" s="15"/>
      <c r="J31" s="13">
        <v>13</v>
      </c>
      <c r="K31" s="12">
        <v>0</v>
      </c>
      <c r="L31" s="14"/>
      <c r="M31" s="14"/>
      <c r="O31" s="15"/>
      <c r="P31" s="15"/>
      <c r="Q31" s="13">
        <v>13</v>
      </c>
      <c r="R31" s="12">
        <v>0</v>
      </c>
      <c r="S31" s="14"/>
      <c r="T31" s="14"/>
    </row>
    <row r="32" spans="1:20" ht="15" customHeight="1" x14ac:dyDescent="0.3">
      <c r="A32" s="15"/>
      <c r="B32" s="15"/>
      <c r="C32" s="13">
        <v>14</v>
      </c>
      <c r="D32" s="12">
        <v>0.26700000000000002</v>
      </c>
      <c r="E32" s="14"/>
      <c r="F32" s="14"/>
      <c r="H32" s="15"/>
      <c r="I32" s="15"/>
      <c r="J32" s="13">
        <v>14</v>
      </c>
      <c r="K32" s="12">
        <v>0</v>
      </c>
      <c r="L32" s="14"/>
      <c r="M32" s="14"/>
      <c r="O32" s="15"/>
      <c r="P32" s="15"/>
      <c r="Q32" s="13">
        <v>14</v>
      </c>
      <c r="R32" s="12">
        <v>0</v>
      </c>
      <c r="S32" s="14"/>
      <c r="T32" s="14"/>
    </row>
    <row r="33" spans="1:20" ht="15" customHeight="1" x14ac:dyDescent="0.3">
      <c r="A33" s="15"/>
      <c r="B33" s="15"/>
      <c r="C33" s="13">
        <v>15</v>
      </c>
      <c r="D33" s="12">
        <v>0.40200000000000002</v>
      </c>
      <c r="E33" s="14"/>
      <c r="F33" s="14"/>
      <c r="H33" s="15"/>
      <c r="I33" s="15"/>
      <c r="J33" s="13">
        <v>15</v>
      </c>
      <c r="K33" s="12">
        <v>0</v>
      </c>
      <c r="L33" s="14"/>
      <c r="M33" s="14"/>
      <c r="O33" s="15"/>
      <c r="P33" s="15"/>
      <c r="Q33" s="13">
        <v>15</v>
      </c>
      <c r="R33" s="12">
        <v>0</v>
      </c>
      <c r="S33" s="14"/>
      <c r="T33" s="14"/>
    </row>
    <row r="35" spans="1:20" ht="15" customHeight="1" x14ac:dyDescent="0.3">
      <c r="A35" s="11" t="s">
        <v>68</v>
      </c>
      <c r="B35" s="15" t="s">
        <v>69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</row>
  </sheetData>
  <mergeCells count="25">
    <mergeCell ref="L19:L33"/>
    <mergeCell ref="M19:M33"/>
    <mergeCell ref="B35:T35"/>
    <mergeCell ref="O19:O33"/>
    <mergeCell ref="P19:P33"/>
    <mergeCell ref="S19:S33"/>
    <mergeCell ref="T19:T33"/>
    <mergeCell ref="I19:I33"/>
    <mergeCell ref="A19:A33"/>
    <mergeCell ref="B19:B33"/>
    <mergeCell ref="E19:E33"/>
    <mergeCell ref="F19:F33"/>
    <mergeCell ref="H19:H33"/>
    <mergeCell ref="T2:T16"/>
    <mergeCell ref="A2:A16"/>
    <mergeCell ref="B2:B16"/>
    <mergeCell ref="E2:E16"/>
    <mergeCell ref="F2:F16"/>
    <mergeCell ref="H2:H16"/>
    <mergeCell ref="I2:I16"/>
    <mergeCell ref="L2:L16"/>
    <mergeCell ref="M2:M16"/>
    <mergeCell ref="O2:O16"/>
    <mergeCell ref="P2:P16"/>
    <mergeCell ref="S2:S16"/>
  </mergeCells>
  <phoneticPr fontId="1" type="noConversion"/>
  <conditionalFormatting sqref="D2:D1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D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1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AD11B-E4AA-45A2-8995-182F916DCEA6}">
  <dimension ref="A1:T35"/>
  <sheetViews>
    <sheetView zoomScale="85" zoomScaleNormal="85" workbookViewId="0">
      <selection activeCell="V30" sqref="V30"/>
    </sheetView>
  </sheetViews>
  <sheetFormatPr defaultColWidth="10.75" defaultRowHeight="15" customHeight="1" x14ac:dyDescent="0.3"/>
  <cols>
    <col min="1" max="16384" width="10.75" style="10"/>
  </cols>
  <sheetData>
    <row r="1" spans="1:20" ht="15" customHeight="1" x14ac:dyDescent="0.3">
      <c r="A1" s="11" t="s">
        <v>62</v>
      </c>
      <c r="B1" s="11" t="s">
        <v>63</v>
      </c>
      <c r="C1" s="11" t="s">
        <v>64</v>
      </c>
      <c r="D1" s="11" t="s">
        <v>65</v>
      </c>
      <c r="E1" s="11" t="s">
        <v>66</v>
      </c>
      <c r="F1" s="11" t="s">
        <v>67</v>
      </c>
      <c r="H1" s="11" t="s">
        <v>62</v>
      </c>
      <c r="I1" s="11" t="s">
        <v>63</v>
      </c>
      <c r="J1" s="11" t="s">
        <v>64</v>
      </c>
      <c r="K1" s="11" t="s">
        <v>65</v>
      </c>
      <c r="L1" s="11" t="s">
        <v>66</v>
      </c>
      <c r="M1" s="11" t="s">
        <v>67</v>
      </c>
      <c r="O1" s="11" t="s">
        <v>62</v>
      </c>
      <c r="P1" s="11" t="s">
        <v>63</v>
      </c>
      <c r="Q1" s="11" t="s">
        <v>64</v>
      </c>
      <c r="R1" s="11" t="s">
        <v>65</v>
      </c>
      <c r="S1" s="11" t="s">
        <v>66</v>
      </c>
      <c r="T1" s="11" t="s">
        <v>67</v>
      </c>
    </row>
    <row r="2" spans="1:20" ht="15" customHeight="1" x14ac:dyDescent="0.3">
      <c r="A2" s="15">
        <v>4.5999999999999996</v>
      </c>
      <c r="B2" s="15">
        <v>2.4</v>
      </c>
      <c r="C2" s="13">
        <v>1</v>
      </c>
      <c r="D2" s="12">
        <v>4.125</v>
      </c>
      <c r="E2" s="14">
        <f>AVERAGE(D2:D16)</f>
        <v>3.5548666666666664</v>
      </c>
      <c r="F2" s="14">
        <f>_xlfn.VAR.S(D2:D16)</f>
        <v>8.2285409523809513E-2</v>
      </c>
      <c r="H2" s="15">
        <v>3.8</v>
      </c>
      <c r="I2" s="15">
        <v>2.4</v>
      </c>
      <c r="J2" s="13">
        <v>1</v>
      </c>
      <c r="K2" s="12">
        <v>3.419</v>
      </c>
      <c r="L2" s="14">
        <f>AVERAGE(K2:K16)</f>
        <v>3.0491333333333324</v>
      </c>
      <c r="M2" s="14">
        <f>_xlfn.VAR.S(K2:K16)</f>
        <v>0.18272983809524135</v>
      </c>
      <c r="O2" s="15">
        <v>4.2</v>
      </c>
      <c r="P2" s="15">
        <v>1.6</v>
      </c>
      <c r="Q2" s="13">
        <v>1</v>
      </c>
      <c r="R2" s="12">
        <v>0.252</v>
      </c>
      <c r="S2" s="14">
        <f>AVERAGE(R2:R16)</f>
        <v>0.1328</v>
      </c>
      <c r="T2" s="14">
        <f>_xlfn.VAR.S(R2:R16)</f>
        <v>9.7674571428571465E-3</v>
      </c>
    </row>
    <row r="3" spans="1:20" ht="15" customHeight="1" x14ac:dyDescent="0.3">
      <c r="A3" s="15"/>
      <c r="B3" s="15"/>
      <c r="C3" s="13">
        <v>2</v>
      </c>
      <c r="D3" s="12">
        <v>3.4849999999999999</v>
      </c>
      <c r="E3" s="14"/>
      <c r="F3" s="14"/>
      <c r="H3" s="15"/>
      <c r="I3" s="15"/>
      <c r="J3" s="13">
        <v>2</v>
      </c>
      <c r="K3" s="12">
        <v>3.3580000000000001</v>
      </c>
      <c r="L3" s="14"/>
      <c r="M3" s="14"/>
      <c r="O3" s="15"/>
      <c r="P3" s="15"/>
      <c r="Q3" s="13">
        <v>2</v>
      </c>
      <c r="R3" s="12">
        <v>0.193</v>
      </c>
      <c r="S3" s="14"/>
      <c r="T3" s="14"/>
    </row>
    <row r="4" spans="1:20" ht="15" customHeight="1" x14ac:dyDescent="0.3">
      <c r="A4" s="15"/>
      <c r="B4" s="15"/>
      <c r="C4" s="13">
        <v>3</v>
      </c>
      <c r="D4" s="12">
        <v>3.1280000000000001</v>
      </c>
      <c r="E4" s="14"/>
      <c r="F4" s="14"/>
      <c r="H4" s="15"/>
      <c r="I4" s="15"/>
      <c r="J4" s="13">
        <v>3</v>
      </c>
      <c r="K4" s="12">
        <v>3.383</v>
      </c>
      <c r="L4" s="14"/>
      <c r="M4" s="14"/>
      <c r="O4" s="15"/>
      <c r="P4" s="15"/>
      <c r="Q4" s="13">
        <v>3</v>
      </c>
      <c r="R4" s="12">
        <v>9.2999999999999999E-2</v>
      </c>
      <c r="S4" s="14"/>
      <c r="T4" s="14"/>
    </row>
    <row r="5" spans="1:20" ht="15" customHeight="1" x14ac:dyDescent="0.3">
      <c r="A5" s="15"/>
      <c r="B5" s="15"/>
      <c r="C5" s="13">
        <v>4</v>
      </c>
      <c r="D5" s="12">
        <v>2.972</v>
      </c>
      <c r="E5" s="14"/>
      <c r="F5" s="14"/>
      <c r="H5" s="15"/>
      <c r="I5" s="15"/>
      <c r="J5" s="13">
        <v>4</v>
      </c>
      <c r="K5" s="12">
        <v>3.5209999999999999</v>
      </c>
      <c r="L5" s="14"/>
      <c r="M5" s="14"/>
      <c r="O5" s="15"/>
      <c r="P5" s="15"/>
      <c r="Q5" s="13">
        <v>4</v>
      </c>
      <c r="R5" s="12">
        <v>0.08</v>
      </c>
      <c r="S5" s="14"/>
      <c r="T5" s="14"/>
    </row>
    <row r="6" spans="1:20" ht="15" customHeight="1" x14ac:dyDescent="0.3">
      <c r="A6" s="15"/>
      <c r="B6" s="15"/>
      <c r="C6" s="13">
        <v>5</v>
      </c>
      <c r="D6" s="12">
        <v>3.3279999999999998</v>
      </c>
      <c r="E6" s="14"/>
      <c r="F6" s="14"/>
      <c r="H6" s="15"/>
      <c r="I6" s="15"/>
      <c r="J6" s="13">
        <v>5</v>
      </c>
      <c r="K6" s="12">
        <v>3.141</v>
      </c>
      <c r="L6" s="14"/>
      <c r="M6" s="14"/>
      <c r="O6" s="15"/>
      <c r="P6" s="15"/>
      <c r="Q6" s="13">
        <v>5</v>
      </c>
      <c r="R6" s="12">
        <v>3.7999999999999999E-2</v>
      </c>
      <c r="S6" s="14"/>
      <c r="T6" s="14"/>
    </row>
    <row r="7" spans="1:20" ht="15" customHeight="1" x14ac:dyDescent="0.3">
      <c r="A7" s="15"/>
      <c r="B7" s="15"/>
      <c r="C7" s="13">
        <v>6</v>
      </c>
      <c r="D7" s="12">
        <v>3.8</v>
      </c>
      <c r="E7" s="14"/>
      <c r="F7" s="14"/>
      <c r="H7" s="15"/>
      <c r="I7" s="15"/>
      <c r="J7" s="13">
        <v>6</v>
      </c>
      <c r="K7" s="12">
        <v>2.9620000000000002</v>
      </c>
      <c r="L7" s="14"/>
      <c r="M7" s="14"/>
      <c r="O7" s="15"/>
      <c r="P7" s="15"/>
      <c r="Q7" s="13">
        <v>6</v>
      </c>
      <c r="R7" s="12">
        <v>0.1</v>
      </c>
      <c r="S7" s="14"/>
      <c r="T7" s="14"/>
    </row>
    <row r="8" spans="1:20" ht="15" customHeight="1" x14ac:dyDescent="0.3">
      <c r="A8" s="15"/>
      <c r="B8" s="15"/>
      <c r="C8" s="13">
        <v>7</v>
      </c>
      <c r="D8" s="12">
        <v>3.581</v>
      </c>
      <c r="E8" s="14"/>
      <c r="F8" s="14"/>
      <c r="H8" s="15"/>
      <c r="I8" s="15"/>
      <c r="J8" s="13">
        <v>7</v>
      </c>
      <c r="K8" s="12">
        <v>3.0670000000000002</v>
      </c>
      <c r="L8" s="14"/>
      <c r="M8" s="14"/>
      <c r="O8" s="15"/>
      <c r="P8" s="15"/>
      <c r="Q8" s="13">
        <v>7</v>
      </c>
      <c r="R8" s="12">
        <v>0.30199999999999999</v>
      </c>
      <c r="S8" s="14"/>
      <c r="T8" s="14"/>
    </row>
    <row r="9" spans="1:20" ht="15" customHeight="1" x14ac:dyDescent="0.3">
      <c r="A9" s="15"/>
      <c r="B9" s="15"/>
      <c r="C9" s="13">
        <v>8</v>
      </c>
      <c r="D9" s="12">
        <v>3.4790000000000001</v>
      </c>
      <c r="E9" s="14"/>
      <c r="F9" s="14"/>
      <c r="H9" s="15"/>
      <c r="I9" s="15"/>
      <c r="J9" s="13">
        <v>8</v>
      </c>
      <c r="K9" s="12">
        <v>3.0449999999999999</v>
      </c>
      <c r="L9" s="14"/>
      <c r="M9" s="14"/>
      <c r="O9" s="15"/>
      <c r="P9" s="15"/>
      <c r="Q9" s="13">
        <v>8</v>
      </c>
      <c r="R9" s="12">
        <v>7.9000000000000001E-2</v>
      </c>
      <c r="S9" s="14"/>
      <c r="T9" s="14"/>
    </row>
    <row r="10" spans="1:20" ht="15" customHeight="1" x14ac:dyDescent="0.3">
      <c r="A10" s="15"/>
      <c r="B10" s="15"/>
      <c r="C10" s="13">
        <v>9</v>
      </c>
      <c r="D10" s="12">
        <v>3.63</v>
      </c>
      <c r="E10" s="14"/>
      <c r="F10" s="14"/>
      <c r="H10" s="15"/>
      <c r="I10" s="15"/>
      <c r="J10" s="13">
        <v>9</v>
      </c>
      <c r="K10" s="12">
        <v>2.59</v>
      </c>
      <c r="L10" s="14"/>
      <c r="M10" s="14"/>
      <c r="O10" s="15"/>
      <c r="P10" s="15"/>
      <c r="Q10" s="13">
        <v>9</v>
      </c>
      <c r="R10" s="12">
        <v>2.1999999999999999E-2</v>
      </c>
      <c r="S10" s="14"/>
      <c r="T10" s="14"/>
    </row>
    <row r="11" spans="1:20" ht="15" customHeight="1" x14ac:dyDescent="0.3">
      <c r="A11" s="15"/>
      <c r="B11" s="15"/>
      <c r="C11" s="13">
        <v>10</v>
      </c>
      <c r="D11" s="12">
        <v>3.661</v>
      </c>
      <c r="E11" s="14"/>
      <c r="F11" s="14"/>
      <c r="H11" s="15"/>
      <c r="I11" s="15"/>
      <c r="J11" s="13">
        <v>10</v>
      </c>
      <c r="K11" s="12">
        <v>3.3769999999999998</v>
      </c>
      <c r="L11" s="14"/>
      <c r="M11" s="14"/>
      <c r="O11" s="15"/>
      <c r="P11" s="15"/>
      <c r="Q11" s="13">
        <v>10</v>
      </c>
      <c r="R11" s="12">
        <v>7.9000000000000001E-2</v>
      </c>
      <c r="S11" s="14"/>
      <c r="T11" s="14"/>
    </row>
    <row r="12" spans="1:20" ht="15" customHeight="1" x14ac:dyDescent="0.3">
      <c r="A12" s="15"/>
      <c r="B12" s="15"/>
      <c r="C12" s="13">
        <v>11</v>
      </c>
      <c r="D12" s="12">
        <v>3.7869999999999999</v>
      </c>
      <c r="E12" s="14"/>
      <c r="F12" s="14"/>
      <c r="H12" s="15"/>
      <c r="I12" s="15"/>
      <c r="J12" s="13">
        <v>11</v>
      </c>
      <c r="K12" s="12">
        <v>2.5259999999999998</v>
      </c>
      <c r="L12" s="14"/>
      <c r="M12" s="14"/>
      <c r="O12" s="15"/>
      <c r="P12" s="15"/>
      <c r="Q12" s="13">
        <v>11</v>
      </c>
      <c r="R12" s="12">
        <v>4.2000000000000003E-2</v>
      </c>
      <c r="S12" s="14"/>
      <c r="T12" s="14"/>
    </row>
    <row r="13" spans="1:20" ht="15" customHeight="1" x14ac:dyDescent="0.3">
      <c r="A13" s="15"/>
      <c r="B13" s="15"/>
      <c r="C13" s="13">
        <v>12</v>
      </c>
      <c r="D13" s="12">
        <v>3.4489999999999998</v>
      </c>
      <c r="E13" s="14"/>
      <c r="F13" s="14"/>
      <c r="H13" s="15"/>
      <c r="I13" s="15"/>
      <c r="J13" s="13">
        <v>12</v>
      </c>
      <c r="K13" s="12">
        <v>2.7080000000000002</v>
      </c>
      <c r="L13" s="14"/>
      <c r="M13" s="14"/>
      <c r="O13" s="15"/>
      <c r="P13" s="15"/>
      <c r="Q13" s="13">
        <v>12</v>
      </c>
      <c r="R13" s="12">
        <v>8.2000000000000003E-2</v>
      </c>
      <c r="S13" s="14"/>
      <c r="T13" s="14"/>
    </row>
    <row r="14" spans="1:20" ht="15" customHeight="1" x14ac:dyDescent="0.3">
      <c r="A14" s="15"/>
      <c r="B14" s="15"/>
      <c r="C14" s="13">
        <v>13</v>
      </c>
      <c r="D14" s="12">
        <v>3.8660000000000001</v>
      </c>
      <c r="E14" s="14"/>
      <c r="F14" s="14"/>
      <c r="H14" s="15"/>
      <c r="I14" s="15"/>
      <c r="J14" s="13">
        <v>13</v>
      </c>
      <c r="K14" s="12">
        <v>3.2789999999999999</v>
      </c>
      <c r="L14" s="14"/>
      <c r="M14" s="14"/>
      <c r="O14" s="15"/>
      <c r="P14" s="15"/>
      <c r="Q14" s="13">
        <v>13</v>
      </c>
      <c r="R14" s="12">
        <v>0.157</v>
      </c>
      <c r="S14" s="14"/>
      <c r="T14" s="14"/>
    </row>
    <row r="15" spans="1:20" ht="15" customHeight="1" x14ac:dyDescent="0.3">
      <c r="A15" s="15"/>
      <c r="B15" s="15"/>
      <c r="C15" s="13">
        <v>14</v>
      </c>
      <c r="D15" s="12">
        <v>3.528</v>
      </c>
      <c r="E15" s="14"/>
      <c r="F15" s="14"/>
      <c r="H15" s="15"/>
      <c r="I15" s="15"/>
      <c r="J15" s="13">
        <v>14</v>
      </c>
      <c r="K15" s="12">
        <v>1.994</v>
      </c>
      <c r="L15" s="14"/>
      <c r="M15" s="14"/>
      <c r="O15" s="15"/>
      <c r="P15" s="15"/>
      <c r="Q15" s="13">
        <v>14</v>
      </c>
      <c r="R15" s="12">
        <v>0.125</v>
      </c>
      <c r="S15" s="14"/>
      <c r="T15" s="14"/>
    </row>
    <row r="16" spans="1:20" ht="15" customHeight="1" x14ac:dyDescent="0.3">
      <c r="A16" s="15"/>
      <c r="B16" s="15"/>
      <c r="C16" s="13">
        <v>15</v>
      </c>
      <c r="D16" s="12">
        <v>3.504</v>
      </c>
      <c r="E16" s="14"/>
      <c r="F16" s="14"/>
      <c r="H16" s="15"/>
      <c r="I16" s="15"/>
      <c r="J16" s="13">
        <v>15</v>
      </c>
      <c r="K16" s="12">
        <v>3.367</v>
      </c>
      <c r="L16" s="14"/>
      <c r="M16" s="14"/>
      <c r="O16" s="15"/>
      <c r="P16" s="15"/>
      <c r="Q16" s="13">
        <v>15</v>
      </c>
      <c r="R16" s="12">
        <v>0.34799999999999998</v>
      </c>
      <c r="S16" s="14"/>
      <c r="T16" s="14"/>
    </row>
    <row r="18" spans="1:20" ht="15" customHeight="1" x14ac:dyDescent="0.3">
      <c r="A18" s="11" t="s">
        <v>62</v>
      </c>
      <c r="B18" s="11" t="s">
        <v>63</v>
      </c>
      <c r="C18" s="11" t="s">
        <v>64</v>
      </c>
      <c r="D18" s="11" t="s">
        <v>65</v>
      </c>
      <c r="E18" s="11" t="s">
        <v>66</v>
      </c>
      <c r="F18" s="11" t="s">
        <v>67</v>
      </c>
      <c r="H18" s="11" t="s">
        <v>62</v>
      </c>
      <c r="I18" s="11" t="s">
        <v>63</v>
      </c>
      <c r="J18" s="11" t="s">
        <v>64</v>
      </c>
      <c r="K18" s="11" t="s">
        <v>65</v>
      </c>
      <c r="L18" s="11" t="s">
        <v>66</v>
      </c>
      <c r="M18" s="11" t="s">
        <v>67</v>
      </c>
      <c r="O18" s="11" t="s">
        <v>62</v>
      </c>
      <c r="P18" s="11" t="s">
        <v>63</v>
      </c>
      <c r="Q18" s="11" t="s">
        <v>64</v>
      </c>
      <c r="R18" s="11" t="s">
        <v>65</v>
      </c>
      <c r="S18" s="11" t="s">
        <v>66</v>
      </c>
      <c r="T18" s="11" t="s">
        <v>67</v>
      </c>
    </row>
    <row r="19" spans="1:20" ht="15" customHeight="1" x14ac:dyDescent="0.3">
      <c r="A19" s="15">
        <v>3.8</v>
      </c>
      <c r="B19" s="15">
        <v>3.2</v>
      </c>
      <c r="C19" s="13">
        <v>1</v>
      </c>
      <c r="D19" s="12">
        <v>0.39400000000000002</v>
      </c>
      <c r="E19" s="14">
        <f>AVERAGE(D19:D33)</f>
        <v>0.31653333333333328</v>
      </c>
      <c r="F19" s="14">
        <f>_xlfn.VAR.S(D19:D33)</f>
        <v>1.7868123809523833E-2</v>
      </c>
      <c r="H19" s="15">
        <v>5.4</v>
      </c>
      <c r="I19" s="15">
        <v>2.8</v>
      </c>
      <c r="J19" s="13">
        <v>1</v>
      </c>
      <c r="K19" s="12">
        <v>0.13600000000000001</v>
      </c>
      <c r="L19" s="14">
        <f>AVERAGE(K19:K33)</f>
        <v>0.14326666666666668</v>
      </c>
      <c r="M19" s="14">
        <f>_xlfn.VAR.S(K19:K33)</f>
        <v>1.0153638095238103E-2</v>
      </c>
      <c r="O19" s="15">
        <v>5</v>
      </c>
      <c r="P19" s="15">
        <v>1.2</v>
      </c>
      <c r="Q19" s="13">
        <v>1</v>
      </c>
      <c r="R19" s="12">
        <v>0</v>
      </c>
      <c r="S19" s="14">
        <f>AVERAGE(R19:R33)</f>
        <v>0</v>
      </c>
      <c r="T19" s="14">
        <f>_xlfn.VAR.S(R19:R33)</f>
        <v>0</v>
      </c>
    </row>
    <row r="20" spans="1:20" ht="15" customHeight="1" x14ac:dyDescent="0.3">
      <c r="A20" s="15"/>
      <c r="B20" s="15"/>
      <c r="C20" s="13">
        <v>2</v>
      </c>
      <c r="D20" s="12">
        <v>0.17499999999999999</v>
      </c>
      <c r="E20" s="14"/>
      <c r="F20" s="14"/>
      <c r="H20" s="15"/>
      <c r="I20" s="15"/>
      <c r="J20" s="13">
        <v>2</v>
      </c>
      <c r="K20" s="12">
        <v>5.7000000000000002E-2</v>
      </c>
      <c r="L20" s="14"/>
      <c r="M20" s="14"/>
      <c r="O20" s="15"/>
      <c r="P20" s="15"/>
      <c r="Q20" s="13">
        <v>2</v>
      </c>
      <c r="R20" s="12">
        <v>0</v>
      </c>
      <c r="S20" s="14"/>
      <c r="T20" s="14"/>
    </row>
    <row r="21" spans="1:20" ht="15" customHeight="1" x14ac:dyDescent="0.3">
      <c r="A21" s="15"/>
      <c r="B21" s="15"/>
      <c r="C21" s="13">
        <v>3</v>
      </c>
      <c r="D21" s="12">
        <v>4.8000000000000001E-2</v>
      </c>
      <c r="E21" s="14"/>
      <c r="F21" s="14"/>
      <c r="H21" s="15"/>
      <c r="I21" s="15"/>
      <c r="J21" s="13">
        <v>3</v>
      </c>
      <c r="K21" s="12">
        <v>0.186</v>
      </c>
      <c r="L21" s="14"/>
      <c r="M21" s="14"/>
      <c r="O21" s="15"/>
      <c r="P21" s="15"/>
      <c r="Q21" s="13">
        <v>3</v>
      </c>
      <c r="R21" s="12">
        <v>0</v>
      </c>
      <c r="S21" s="14"/>
      <c r="T21" s="14"/>
    </row>
    <row r="22" spans="1:20" ht="15" customHeight="1" x14ac:dyDescent="0.3">
      <c r="A22" s="15"/>
      <c r="B22" s="15"/>
      <c r="C22" s="13">
        <v>4</v>
      </c>
      <c r="D22" s="12">
        <v>0.13400000000000001</v>
      </c>
      <c r="E22" s="14"/>
      <c r="F22" s="14"/>
      <c r="H22" s="15"/>
      <c r="I22" s="15"/>
      <c r="J22" s="13">
        <v>4</v>
      </c>
      <c r="K22" s="12">
        <v>0.1</v>
      </c>
      <c r="L22" s="14"/>
      <c r="M22" s="14"/>
      <c r="O22" s="15"/>
      <c r="P22" s="15"/>
      <c r="Q22" s="13">
        <v>4</v>
      </c>
      <c r="R22" s="12">
        <v>0</v>
      </c>
      <c r="S22" s="14"/>
      <c r="T22" s="14"/>
    </row>
    <row r="23" spans="1:20" ht="15" customHeight="1" x14ac:dyDescent="0.3">
      <c r="A23" s="15"/>
      <c r="B23" s="15"/>
      <c r="C23" s="13">
        <v>5</v>
      </c>
      <c r="D23" s="12">
        <v>0.32800000000000001</v>
      </c>
      <c r="E23" s="14"/>
      <c r="F23" s="14"/>
      <c r="H23" s="15"/>
      <c r="I23" s="15"/>
      <c r="J23" s="13">
        <v>5</v>
      </c>
      <c r="K23" s="12">
        <v>0.317</v>
      </c>
      <c r="L23" s="14"/>
      <c r="M23" s="14"/>
      <c r="O23" s="15"/>
      <c r="P23" s="15"/>
      <c r="Q23" s="13">
        <v>5</v>
      </c>
      <c r="R23" s="12">
        <v>0</v>
      </c>
      <c r="S23" s="14"/>
      <c r="T23" s="14"/>
    </row>
    <row r="24" spans="1:20" ht="15" customHeight="1" x14ac:dyDescent="0.3">
      <c r="A24" s="15"/>
      <c r="B24" s="15"/>
      <c r="C24" s="13">
        <v>6</v>
      </c>
      <c r="D24" s="12">
        <v>0.35499999999999998</v>
      </c>
      <c r="E24" s="14"/>
      <c r="F24" s="14"/>
      <c r="H24" s="15"/>
      <c r="I24" s="15"/>
      <c r="J24" s="13">
        <v>6</v>
      </c>
      <c r="K24" s="12">
        <v>0.25900000000000001</v>
      </c>
      <c r="L24" s="14"/>
      <c r="M24" s="14"/>
      <c r="O24" s="15"/>
      <c r="P24" s="15"/>
      <c r="Q24" s="13">
        <v>6</v>
      </c>
      <c r="R24" s="12">
        <v>0</v>
      </c>
      <c r="S24" s="14"/>
      <c r="T24" s="14"/>
    </row>
    <row r="25" spans="1:20" ht="15" customHeight="1" x14ac:dyDescent="0.3">
      <c r="A25" s="15"/>
      <c r="B25" s="15"/>
      <c r="C25" s="13">
        <v>7</v>
      </c>
      <c r="D25" s="12">
        <v>0.48399999999999999</v>
      </c>
      <c r="E25" s="14"/>
      <c r="F25" s="14"/>
      <c r="H25" s="15"/>
      <c r="I25" s="15"/>
      <c r="J25" s="13">
        <v>7</v>
      </c>
      <c r="K25" s="12">
        <v>0.28899999999999998</v>
      </c>
      <c r="L25" s="14"/>
      <c r="M25" s="14"/>
      <c r="O25" s="15"/>
      <c r="P25" s="15"/>
      <c r="Q25" s="13">
        <v>7</v>
      </c>
      <c r="R25" s="12">
        <v>0</v>
      </c>
      <c r="S25" s="14"/>
      <c r="T25" s="14"/>
    </row>
    <row r="26" spans="1:20" ht="15" customHeight="1" x14ac:dyDescent="0.3">
      <c r="A26" s="15"/>
      <c r="B26" s="15"/>
      <c r="C26" s="13">
        <v>8</v>
      </c>
      <c r="D26" s="12">
        <v>0.44600000000000001</v>
      </c>
      <c r="E26" s="14"/>
      <c r="F26" s="14"/>
      <c r="H26" s="15"/>
      <c r="I26" s="15"/>
      <c r="J26" s="13">
        <v>8</v>
      </c>
      <c r="K26" s="12">
        <v>0.16600000000000001</v>
      </c>
      <c r="L26" s="14"/>
      <c r="M26" s="14"/>
      <c r="O26" s="15"/>
      <c r="P26" s="15"/>
      <c r="Q26" s="13">
        <v>8</v>
      </c>
      <c r="R26" s="12">
        <v>0</v>
      </c>
      <c r="S26" s="14"/>
      <c r="T26" s="14"/>
    </row>
    <row r="27" spans="1:20" ht="15" customHeight="1" x14ac:dyDescent="0.3">
      <c r="A27" s="15"/>
      <c r="B27" s="15"/>
      <c r="C27" s="13">
        <v>9</v>
      </c>
      <c r="D27" s="12">
        <v>0.36599999999999999</v>
      </c>
      <c r="E27" s="14"/>
      <c r="F27" s="14"/>
      <c r="H27" s="15"/>
      <c r="I27" s="15"/>
      <c r="J27" s="13">
        <v>9</v>
      </c>
      <c r="K27" s="12">
        <v>0.22500000000000001</v>
      </c>
      <c r="L27" s="14"/>
      <c r="M27" s="14"/>
      <c r="O27" s="15"/>
      <c r="P27" s="15"/>
      <c r="Q27" s="13">
        <v>9</v>
      </c>
      <c r="R27" s="12">
        <v>0</v>
      </c>
      <c r="S27" s="14"/>
      <c r="T27" s="14"/>
    </row>
    <row r="28" spans="1:20" ht="15" customHeight="1" x14ac:dyDescent="0.3">
      <c r="A28" s="15"/>
      <c r="B28" s="15"/>
      <c r="C28" s="13">
        <v>10</v>
      </c>
      <c r="D28" s="12">
        <v>0.41199999999999998</v>
      </c>
      <c r="E28" s="14"/>
      <c r="F28" s="14"/>
      <c r="H28" s="15"/>
      <c r="I28" s="15"/>
      <c r="J28" s="13">
        <v>10</v>
      </c>
      <c r="K28" s="12">
        <v>6.8000000000000005E-2</v>
      </c>
      <c r="L28" s="14"/>
      <c r="M28" s="14"/>
      <c r="O28" s="15"/>
      <c r="P28" s="15"/>
      <c r="Q28" s="13">
        <v>10</v>
      </c>
      <c r="R28" s="12">
        <v>0</v>
      </c>
      <c r="S28" s="14"/>
      <c r="T28" s="14"/>
    </row>
    <row r="29" spans="1:20" ht="15" customHeight="1" x14ac:dyDescent="0.3">
      <c r="A29" s="15"/>
      <c r="B29" s="15"/>
      <c r="C29" s="13">
        <v>11</v>
      </c>
      <c r="D29" s="12">
        <v>0.36799999999999999</v>
      </c>
      <c r="E29" s="14"/>
      <c r="F29" s="14"/>
      <c r="H29" s="15"/>
      <c r="I29" s="15"/>
      <c r="J29" s="13">
        <v>11</v>
      </c>
      <c r="K29" s="12">
        <v>1.2999999999999999E-2</v>
      </c>
      <c r="L29" s="14"/>
      <c r="M29" s="14"/>
      <c r="O29" s="15"/>
      <c r="P29" s="15"/>
      <c r="Q29" s="13">
        <v>11</v>
      </c>
      <c r="R29" s="12">
        <v>0</v>
      </c>
      <c r="S29" s="14"/>
      <c r="T29" s="14"/>
    </row>
    <row r="30" spans="1:20" ht="15" customHeight="1" x14ac:dyDescent="0.3">
      <c r="A30" s="15"/>
      <c r="B30" s="15"/>
      <c r="C30" s="13">
        <v>12</v>
      </c>
      <c r="D30" s="12">
        <v>0.33100000000000002</v>
      </c>
      <c r="E30" s="14"/>
      <c r="F30" s="14"/>
      <c r="H30" s="15"/>
      <c r="I30" s="15"/>
      <c r="J30" s="13">
        <v>12</v>
      </c>
      <c r="K30" s="12">
        <v>0</v>
      </c>
      <c r="L30" s="14"/>
      <c r="M30" s="14"/>
      <c r="O30" s="15"/>
      <c r="P30" s="15"/>
      <c r="Q30" s="13">
        <v>12</v>
      </c>
      <c r="R30" s="12">
        <v>0</v>
      </c>
      <c r="S30" s="14"/>
      <c r="T30" s="14"/>
    </row>
    <row r="31" spans="1:20" ht="15" customHeight="1" x14ac:dyDescent="0.3">
      <c r="A31" s="15"/>
      <c r="B31" s="15"/>
      <c r="C31" s="13">
        <v>13</v>
      </c>
      <c r="D31" s="12">
        <v>0.151</v>
      </c>
      <c r="E31" s="14"/>
      <c r="F31" s="14"/>
      <c r="H31" s="15"/>
      <c r="I31" s="15"/>
      <c r="J31" s="13">
        <v>13</v>
      </c>
      <c r="K31" s="12">
        <v>2.1000000000000001E-2</v>
      </c>
      <c r="L31" s="14"/>
      <c r="M31" s="14"/>
      <c r="O31" s="15"/>
      <c r="P31" s="15"/>
      <c r="Q31" s="13">
        <v>13</v>
      </c>
      <c r="R31" s="12">
        <v>0</v>
      </c>
      <c r="S31" s="14"/>
      <c r="T31" s="14"/>
    </row>
    <row r="32" spans="1:20" ht="15" customHeight="1" x14ac:dyDescent="0.3">
      <c r="A32" s="15"/>
      <c r="B32" s="15"/>
      <c r="C32" s="13">
        <v>14</v>
      </c>
      <c r="D32" s="12">
        <v>0.48499999999999999</v>
      </c>
      <c r="E32" s="14"/>
      <c r="F32" s="14"/>
      <c r="H32" s="15"/>
      <c r="I32" s="15"/>
      <c r="J32" s="13">
        <v>14</v>
      </c>
      <c r="K32" s="12">
        <v>0.14000000000000001</v>
      </c>
      <c r="L32" s="14"/>
      <c r="M32" s="14"/>
      <c r="O32" s="15"/>
      <c r="P32" s="15"/>
      <c r="Q32" s="13">
        <v>14</v>
      </c>
      <c r="R32" s="12">
        <v>0</v>
      </c>
      <c r="S32" s="14"/>
      <c r="T32" s="14"/>
    </row>
    <row r="33" spans="1:20" ht="15" customHeight="1" x14ac:dyDescent="0.3">
      <c r="A33" s="15"/>
      <c r="B33" s="15"/>
      <c r="C33" s="13">
        <v>15</v>
      </c>
      <c r="D33" s="12">
        <v>0.27100000000000002</v>
      </c>
      <c r="E33" s="14"/>
      <c r="F33" s="14"/>
      <c r="H33" s="15"/>
      <c r="I33" s="15"/>
      <c r="J33" s="13">
        <v>15</v>
      </c>
      <c r="K33" s="12">
        <v>0.17199999999999999</v>
      </c>
      <c r="L33" s="14"/>
      <c r="M33" s="14"/>
      <c r="O33" s="15"/>
      <c r="P33" s="15"/>
      <c r="Q33" s="13">
        <v>15</v>
      </c>
      <c r="R33" s="12">
        <v>0</v>
      </c>
      <c r="S33" s="14"/>
      <c r="T33" s="14"/>
    </row>
    <row r="35" spans="1:20" ht="15" customHeight="1" x14ac:dyDescent="0.3">
      <c r="A35" s="11" t="s">
        <v>68</v>
      </c>
      <c r="B35" s="15" t="s">
        <v>71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</row>
  </sheetData>
  <mergeCells count="25">
    <mergeCell ref="L19:L33"/>
    <mergeCell ref="M19:M33"/>
    <mergeCell ref="B35:T35"/>
    <mergeCell ref="O19:O33"/>
    <mergeCell ref="P19:P33"/>
    <mergeCell ref="S19:S33"/>
    <mergeCell ref="T19:T33"/>
    <mergeCell ref="I19:I33"/>
    <mergeCell ref="A19:A33"/>
    <mergeCell ref="B19:B33"/>
    <mergeCell ref="E19:E33"/>
    <mergeCell ref="F19:F33"/>
    <mergeCell ref="H19:H33"/>
    <mergeCell ref="T2:T16"/>
    <mergeCell ref="A2:A16"/>
    <mergeCell ref="B2:B16"/>
    <mergeCell ref="E2:E16"/>
    <mergeCell ref="F2:F16"/>
    <mergeCell ref="H2:H16"/>
    <mergeCell ref="I2:I16"/>
    <mergeCell ref="L2:L16"/>
    <mergeCell ref="M2:M16"/>
    <mergeCell ref="O2:O16"/>
    <mergeCell ref="P2:P16"/>
    <mergeCell ref="S2:S16"/>
  </mergeCells>
  <phoneticPr fontId="1" type="noConversion"/>
  <conditionalFormatting sqref="D2:D1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D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1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F76E0-5CA0-426C-ACBA-742D5EBDC916}">
  <dimension ref="A1:T35"/>
  <sheetViews>
    <sheetView workbookViewId="0">
      <selection sqref="A1:XFD1048576"/>
    </sheetView>
  </sheetViews>
  <sheetFormatPr defaultColWidth="10.75" defaultRowHeight="15" customHeight="1" x14ac:dyDescent="0.3"/>
  <cols>
    <col min="1" max="16384" width="10.75" style="10"/>
  </cols>
  <sheetData>
    <row r="1" spans="1:20" ht="15" customHeight="1" x14ac:dyDescent="0.3">
      <c r="A1" s="11" t="s">
        <v>62</v>
      </c>
      <c r="B1" s="11" t="s">
        <v>63</v>
      </c>
      <c r="C1" s="11" t="s">
        <v>64</v>
      </c>
      <c r="D1" s="11" t="s">
        <v>65</v>
      </c>
      <c r="E1" s="11" t="s">
        <v>66</v>
      </c>
      <c r="F1" s="11" t="s">
        <v>67</v>
      </c>
      <c r="H1" s="11" t="s">
        <v>62</v>
      </c>
      <c r="I1" s="11" t="s">
        <v>63</v>
      </c>
      <c r="J1" s="11" t="s">
        <v>64</v>
      </c>
      <c r="K1" s="11" t="s">
        <v>65</v>
      </c>
      <c r="L1" s="11" t="s">
        <v>66</v>
      </c>
      <c r="M1" s="11" t="s">
        <v>67</v>
      </c>
      <c r="O1" s="11" t="s">
        <v>62</v>
      </c>
      <c r="P1" s="11" t="s">
        <v>63</v>
      </c>
      <c r="Q1" s="11" t="s">
        <v>64</v>
      </c>
      <c r="R1" s="11" t="s">
        <v>65</v>
      </c>
      <c r="S1" s="11" t="s">
        <v>66</v>
      </c>
      <c r="T1" s="11" t="s">
        <v>67</v>
      </c>
    </row>
    <row r="2" spans="1:20" ht="15" customHeight="1" x14ac:dyDescent="0.3">
      <c r="A2" s="15">
        <v>4.5999999999999996</v>
      </c>
      <c r="B2" s="15">
        <v>2.4</v>
      </c>
      <c r="C2" s="13">
        <v>1</v>
      </c>
      <c r="D2" s="12"/>
      <c r="E2" s="14" t="e">
        <f>AVERAGE(D2:D16)</f>
        <v>#DIV/0!</v>
      </c>
      <c r="F2" s="14" t="e">
        <f>_xlfn.VAR.S(D2:D16)</f>
        <v>#DIV/0!</v>
      </c>
      <c r="H2" s="15">
        <v>3.8</v>
      </c>
      <c r="I2" s="15">
        <v>2.4</v>
      </c>
      <c r="J2" s="13">
        <v>1</v>
      </c>
      <c r="K2" s="12"/>
      <c r="L2" s="14" t="e">
        <f>AVERAGE(K2:K16)</f>
        <v>#DIV/0!</v>
      </c>
      <c r="M2" s="14" t="e">
        <f>_xlfn.VAR.S(K2:K16)</f>
        <v>#DIV/0!</v>
      </c>
      <c r="O2" s="15">
        <v>4.2</v>
      </c>
      <c r="P2" s="15">
        <v>1.6</v>
      </c>
      <c r="Q2" s="13">
        <v>1</v>
      </c>
      <c r="R2" s="12"/>
      <c r="S2" s="14" t="e">
        <f>AVERAGE(R2:R16)</f>
        <v>#DIV/0!</v>
      </c>
      <c r="T2" s="14" t="e">
        <f>_xlfn.VAR.S(R2:R16)</f>
        <v>#DIV/0!</v>
      </c>
    </row>
    <row r="3" spans="1:20" ht="15" customHeight="1" x14ac:dyDescent="0.3">
      <c r="A3" s="15"/>
      <c r="B3" s="15"/>
      <c r="C3" s="13">
        <v>2</v>
      </c>
      <c r="D3" s="12"/>
      <c r="E3" s="14"/>
      <c r="F3" s="14"/>
      <c r="H3" s="15"/>
      <c r="I3" s="15"/>
      <c r="J3" s="13">
        <v>2</v>
      </c>
      <c r="K3" s="12"/>
      <c r="L3" s="14"/>
      <c r="M3" s="14"/>
      <c r="O3" s="15"/>
      <c r="P3" s="15"/>
      <c r="Q3" s="13">
        <v>2</v>
      </c>
      <c r="R3" s="12"/>
      <c r="S3" s="14"/>
      <c r="T3" s="14"/>
    </row>
    <row r="4" spans="1:20" ht="15" customHeight="1" x14ac:dyDescent="0.3">
      <c r="A4" s="15"/>
      <c r="B4" s="15"/>
      <c r="C4" s="13">
        <v>3</v>
      </c>
      <c r="D4" s="12"/>
      <c r="E4" s="14"/>
      <c r="F4" s="14"/>
      <c r="H4" s="15"/>
      <c r="I4" s="15"/>
      <c r="J4" s="13">
        <v>3</v>
      </c>
      <c r="K4" s="12"/>
      <c r="L4" s="14"/>
      <c r="M4" s="14"/>
      <c r="O4" s="15"/>
      <c r="P4" s="15"/>
      <c r="Q4" s="13">
        <v>3</v>
      </c>
      <c r="R4" s="12"/>
      <c r="S4" s="14"/>
      <c r="T4" s="14"/>
    </row>
    <row r="5" spans="1:20" ht="15" customHeight="1" x14ac:dyDescent="0.3">
      <c r="A5" s="15"/>
      <c r="B5" s="15"/>
      <c r="C5" s="13">
        <v>4</v>
      </c>
      <c r="D5" s="12"/>
      <c r="E5" s="14"/>
      <c r="F5" s="14"/>
      <c r="H5" s="15"/>
      <c r="I5" s="15"/>
      <c r="J5" s="13">
        <v>4</v>
      </c>
      <c r="K5" s="12"/>
      <c r="L5" s="14"/>
      <c r="M5" s="14"/>
      <c r="O5" s="15"/>
      <c r="P5" s="15"/>
      <c r="Q5" s="13">
        <v>4</v>
      </c>
      <c r="R5" s="12"/>
      <c r="S5" s="14"/>
      <c r="T5" s="14"/>
    </row>
    <row r="6" spans="1:20" ht="15" customHeight="1" x14ac:dyDescent="0.3">
      <c r="A6" s="15"/>
      <c r="B6" s="15"/>
      <c r="C6" s="13">
        <v>5</v>
      </c>
      <c r="D6" s="12"/>
      <c r="E6" s="14"/>
      <c r="F6" s="14"/>
      <c r="H6" s="15"/>
      <c r="I6" s="15"/>
      <c r="J6" s="13">
        <v>5</v>
      </c>
      <c r="K6" s="12"/>
      <c r="L6" s="14"/>
      <c r="M6" s="14"/>
      <c r="O6" s="15"/>
      <c r="P6" s="15"/>
      <c r="Q6" s="13">
        <v>5</v>
      </c>
      <c r="R6" s="12"/>
      <c r="S6" s="14"/>
      <c r="T6" s="14"/>
    </row>
    <row r="7" spans="1:20" ht="15" customHeight="1" x14ac:dyDescent="0.3">
      <c r="A7" s="15"/>
      <c r="B7" s="15"/>
      <c r="C7" s="13">
        <v>6</v>
      </c>
      <c r="D7" s="12"/>
      <c r="E7" s="14"/>
      <c r="F7" s="14"/>
      <c r="H7" s="15"/>
      <c r="I7" s="15"/>
      <c r="J7" s="13">
        <v>6</v>
      </c>
      <c r="K7" s="12"/>
      <c r="L7" s="14"/>
      <c r="M7" s="14"/>
      <c r="O7" s="15"/>
      <c r="P7" s="15"/>
      <c r="Q7" s="13">
        <v>6</v>
      </c>
      <c r="R7" s="12"/>
      <c r="S7" s="14"/>
      <c r="T7" s="14"/>
    </row>
    <row r="8" spans="1:20" ht="15" customHeight="1" x14ac:dyDescent="0.3">
      <c r="A8" s="15"/>
      <c r="B8" s="15"/>
      <c r="C8" s="13">
        <v>7</v>
      </c>
      <c r="D8" s="12"/>
      <c r="E8" s="14"/>
      <c r="F8" s="14"/>
      <c r="H8" s="15"/>
      <c r="I8" s="15"/>
      <c r="J8" s="13">
        <v>7</v>
      </c>
      <c r="K8" s="12"/>
      <c r="L8" s="14"/>
      <c r="M8" s="14"/>
      <c r="O8" s="15"/>
      <c r="P8" s="15"/>
      <c r="Q8" s="13">
        <v>7</v>
      </c>
      <c r="R8" s="12"/>
      <c r="S8" s="14"/>
      <c r="T8" s="14"/>
    </row>
    <row r="9" spans="1:20" ht="15" customHeight="1" x14ac:dyDescent="0.3">
      <c r="A9" s="15"/>
      <c r="B9" s="15"/>
      <c r="C9" s="13">
        <v>8</v>
      </c>
      <c r="D9" s="12"/>
      <c r="E9" s="14"/>
      <c r="F9" s="14"/>
      <c r="H9" s="15"/>
      <c r="I9" s="15"/>
      <c r="J9" s="13">
        <v>8</v>
      </c>
      <c r="K9" s="12"/>
      <c r="L9" s="14"/>
      <c r="M9" s="14"/>
      <c r="O9" s="15"/>
      <c r="P9" s="15"/>
      <c r="Q9" s="13">
        <v>8</v>
      </c>
      <c r="R9" s="12"/>
      <c r="S9" s="14"/>
      <c r="T9" s="14"/>
    </row>
    <row r="10" spans="1:20" ht="15" customHeight="1" x14ac:dyDescent="0.3">
      <c r="A10" s="15"/>
      <c r="B10" s="15"/>
      <c r="C10" s="13">
        <v>9</v>
      </c>
      <c r="D10" s="12"/>
      <c r="E10" s="14"/>
      <c r="F10" s="14"/>
      <c r="H10" s="15"/>
      <c r="I10" s="15"/>
      <c r="J10" s="13">
        <v>9</v>
      </c>
      <c r="K10" s="12"/>
      <c r="L10" s="14"/>
      <c r="M10" s="14"/>
      <c r="O10" s="15"/>
      <c r="P10" s="15"/>
      <c r="Q10" s="13">
        <v>9</v>
      </c>
      <c r="R10" s="12"/>
      <c r="S10" s="14"/>
      <c r="T10" s="14"/>
    </row>
    <row r="11" spans="1:20" ht="15" customHeight="1" x14ac:dyDescent="0.3">
      <c r="A11" s="15"/>
      <c r="B11" s="15"/>
      <c r="C11" s="13">
        <v>10</v>
      </c>
      <c r="D11" s="12"/>
      <c r="E11" s="14"/>
      <c r="F11" s="14"/>
      <c r="H11" s="15"/>
      <c r="I11" s="15"/>
      <c r="J11" s="13">
        <v>10</v>
      </c>
      <c r="K11" s="12"/>
      <c r="L11" s="14"/>
      <c r="M11" s="14"/>
      <c r="O11" s="15"/>
      <c r="P11" s="15"/>
      <c r="Q11" s="13">
        <v>10</v>
      </c>
      <c r="R11" s="12"/>
      <c r="S11" s="14"/>
      <c r="T11" s="14"/>
    </row>
    <row r="12" spans="1:20" ht="15" customHeight="1" x14ac:dyDescent="0.3">
      <c r="A12" s="15"/>
      <c r="B12" s="15"/>
      <c r="C12" s="13">
        <v>11</v>
      </c>
      <c r="D12" s="12"/>
      <c r="E12" s="14"/>
      <c r="F12" s="14"/>
      <c r="H12" s="15"/>
      <c r="I12" s="15"/>
      <c r="J12" s="13">
        <v>11</v>
      </c>
      <c r="K12" s="12"/>
      <c r="L12" s="14"/>
      <c r="M12" s="14"/>
      <c r="O12" s="15"/>
      <c r="P12" s="15"/>
      <c r="Q12" s="13">
        <v>11</v>
      </c>
      <c r="R12" s="12"/>
      <c r="S12" s="14"/>
      <c r="T12" s="14"/>
    </row>
    <row r="13" spans="1:20" ht="15" customHeight="1" x14ac:dyDescent="0.3">
      <c r="A13" s="15"/>
      <c r="B13" s="15"/>
      <c r="C13" s="13">
        <v>12</v>
      </c>
      <c r="D13" s="12"/>
      <c r="E13" s="14"/>
      <c r="F13" s="14"/>
      <c r="H13" s="15"/>
      <c r="I13" s="15"/>
      <c r="J13" s="13">
        <v>12</v>
      </c>
      <c r="K13" s="12"/>
      <c r="L13" s="14"/>
      <c r="M13" s="14"/>
      <c r="O13" s="15"/>
      <c r="P13" s="15"/>
      <c r="Q13" s="13">
        <v>12</v>
      </c>
      <c r="R13" s="12"/>
      <c r="S13" s="14"/>
      <c r="T13" s="14"/>
    </row>
    <row r="14" spans="1:20" ht="15" customHeight="1" x14ac:dyDescent="0.3">
      <c r="A14" s="15"/>
      <c r="B14" s="15"/>
      <c r="C14" s="13">
        <v>13</v>
      </c>
      <c r="D14" s="12"/>
      <c r="E14" s="14"/>
      <c r="F14" s="14"/>
      <c r="H14" s="15"/>
      <c r="I14" s="15"/>
      <c r="J14" s="13">
        <v>13</v>
      </c>
      <c r="K14" s="12"/>
      <c r="L14" s="14"/>
      <c r="M14" s="14"/>
      <c r="O14" s="15"/>
      <c r="P14" s="15"/>
      <c r="Q14" s="13">
        <v>13</v>
      </c>
      <c r="R14" s="12"/>
      <c r="S14" s="14"/>
      <c r="T14" s="14"/>
    </row>
    <row r="15" spans="1:20" ht="15" customHeight="1" x14ac:dyDescent="0.3">
      <c r="A15" s="15"/>
      <c r="B15" s="15"/>
      <c r="C15" s="13">
        <v>14</v>
      </c>
      <c r="D15" s="12"/>
      <c r="E15" s="14"/>
      <c r="F15" s="14"/>
      <c r="H15" s="15"/>
      <c r="I15" s="15"/>
      <c r="J15" s="13">
        <v>14</v>
      </c>
      <c r="K15" s="12"/>
      <c r="L15" s="14"/>
      <c r="M15" s="14"/>
      <c r="O15" s="15"/>
      <c r="P15" s="15"/>
      <c r="Q15" s="13">
        <v>14</v>
      </c>
      <c r="R15" s="12"/>
      <c r="S15" s="14"/>
      <c r="T15" s="14"/>
    </row>
    <row r="16" spans="1:20" ht="15" customHeight="1" x14ac:dyDescent="0.3">
      <c r="A16" s="15"/>
      <c r="B16" s="15"/>
      <c r="C16" s="13">
        <v>15</v>
      </c>
      <c r="D16" s="12"/>
      <c r="E16" s="14"/>
      <c r="F16" s="14"/>
      <c r="H16" s="15"/>
      <c r="I16" s="15"/>
      <c r="J16" s="13">
        <v>15</v>
      </c>
      <c r="K16" s="12"/>
      <c r="L16" s="14"/>
      <c r="M16" s="14"/>
      <c r="O16" s="15"/>
      <c r="P16" s="15"/>
      <c r="Q16" s="13">
        <v>15</v>
      </c>
      <c r="R16" s="12"/>
      <c r="S16" s="14"/>
      <c r="T16" s="14"/>
    </row>
    <row r="18" spans="1:20" ht="15" customHeight="1" x14ac:dyDescent="0.3">
      <c r="A18" s="11" t="s">
        <v>62</v>
      </c>
      <c r="B18" s="11" t="s">
        <v>63</v>
      </c>
      <c r="C18" s="11" t="s">
        <v>64</v>
      </c>
      <c r="D18" s="11" t="s">
        <v>65</v>
      </c>
      <c r="E18" s="11" t="s">
        <v>66</v>
      </c>
      <c r="F18" s="11" t="s">
        <v>67</v>
      </c>
      <c r="H18" s="11" t="s">
        <v>62</v>
      </c>
      <c r="I18" s="11" t="s">
        <v>63</v>
      </c>
      <c r="J18" s="11" t="s">
        <v>64</v>
      </c>
      <c r="K18" s="11" t="s">
        <v>65</v>
      </c>
      <c r="L18" s="11" t="s">
        <v>66</v>
      </c>
      <c r="M18" s="11" t="s">
        <v>67</v>
      </c>
      <c r="O18" s="11" t="s">
        <v>62</v>
      </c>
      <c r="P18" s="11" t="s">
        <v>63</v>
      </c>
      <c r="Q18" s="11" t="s">
        <v>64</v>
      </c>
      <c r="R18" s="11" t="s">
        <v>65</v>
      </c>
      <c r="S18" s="11" t="s">
        <v>66</v>
      </c>
      <c r="T18" s="11" t="s">
        <v>67</v>
      </c>
    </row>
    <row r="19" spans="1:20" ht="15" customHeight="1" x14ac:dyDescent="0.3">
      <c r="A19" s="15">
        <v>3.8</v>
      </c>
      <c r="B19" s="15">
        <v>3.2</v>
      </c>
      <c r="C19" s="13">
        <v>1</v>
      </c>
      <c r="D19" s="12"/>
      <c r="E19" s="14" t="e">
        <f>AVERAGE(D19:D33)</f>
        <v>#DIV/0!</v>
      </c>
      <c r="F19" s="14" t="e">
        <f>_xlfn.VAR.S(D19:D33)</f>
        <v>#DIV/0!</v>
      </c>
      <c r="H19" s="15">
        <v>5.4</v>
      </c>
      <c r="I19" s="15">
        <v>2.8</v>
      </c>
      <c r="J19" s="13">
        <v>1</v>
      </c>
      <c r="K19" s="12"/>
      <c r="L19" s="14" t="e">
        <f>AVERAGE(K19:K33)</f>
        <v>#DIV/0!</v>
      </c>
      <c r="M19" s="14" t="e">
        <f>_xlfn.VAR.S(K19:K33)</f>
        <v>#DIV/0!</v>
      </c>
      <c r="O19" s="15">
        <v>5</v>
      </c>
      <c r="P19" s="15">
        <v>1.2</v>
      </c>
      <c r="Q19" s="13">
        <v>1</v>
      </c>
      <c r="R19" s="12"/>
      <c r="S19" s="14" t="e">
        <f>AVERAGE(R19:R33)</f>
        <v>#DIV/0!</v>
      </c>
      <c r="T19" s="14" t="e">
        <f>_xlfn.VAR.S(R19:R33)</f>
        <v>#DIV/0!</v>
      </c>
    </row>
    <row r="20" spans="1:20" ht="15" customHeight="1" x14ac:dyDescent="0.3">
      <c r="A20" s="15"/>
      <c r="B20" s="15"/>
      <c r="C20" s="13">
        <v>2</v>
      </c>
      <c r="D20" s="12"/>
      <c r="E20" s="14"/>
      <c r="F20" s="14"/>
      <c r="H20" s="15"/>
      <c r="I20" s="15"/>
      <c r="J20" s="13">
        <v>2</v>
      </c>
      <c r="K20" s="12"/>
      <c r="L20" s="14"/>
      <c r="M20" s="14"/>
      <c r="O20" s="15"/>
      <c r="P20" s="15"/>
      <c r="Q20" s="13">
        <v>2</v>
      </c>
      <c r="R20" s="12"/>
      <c r="S20" s="14"/>
      <c r="T20" s="14"/>
    </row>
    <row r="21" spans="1:20" ht="15" customHeight="1" x14ac:dyDescent="0.3">
      <c r="A21" s="15"/>
      <c r="B21" s="15"/>
      <c r="C21" s="13">
        <v>3</v>
      </c>
      <c r="D21" s="12"/>
      <c r="E21" s="14"/>
      <c r="F21" s="14"/>
      <c r="H21" s="15"/>
      <c r="I21" s="15"/>
      <c r="J21" s="13">
        <v>3</v>
      </c>
      <c r="K21" s="12"/>
      <c r="L21" s="14"/>
      <c r="M21" s="14"/>
      <c r="O21" s="15"/>
      <c r="P21" s="15"/>
      <c r="Q21" s="13">
        <v>3</v>
      </c>
      <c r="R21" s="12"/>
      <c r="S21" s="14"/>
      <c r="T21" s="14"/>
    </row>
    <row r="22" spans="1:20" ht="15" customHeight="1" x14ac:dyDescent="0.3">
      <c r="A22" s="15"/>
      <c r="B22" s="15"/>
      <c r="C22" s="13">
        <v>4</v>
      </c>
      <c r="D22" s="12"/>
      <c r="E22" s="14"/>
      <c r="F22" s="14"/>
      <c r="H22" s="15"/>
      <c r="I22" s="15"/>
      <c r="J22" s="13">
        <v>4</v>
      </c>
      <c r="K22" s="12"/>
      <c r="L22" s="14"/>
      <c r="M22" s="14"/>
      <c r="O22" s="15"/>
      <c r="P22" s="15"/>
      <c r="Q22" s="13">
        <v>4</v>
      </c>
      <c r="R22" s="12"/>
      <c r="S22" s="14"/>
      <c r="T22" s="14"/>
    </row>
    <row r="23" spans="1:20" ht="15" customHeight="1" x14ac:dyDescent="0.3">
      <c r="A23" s="15"/>
      <c r="B23" s="15"/>
      <c r="C23" s="13">
        <v>5</v>
      </c>
      <c r="D23" s="12"/>
      <c r="E23" s="14"/>
      <c r="F23" s="14"/>
      <c r="H23" s="15"/>
      <c r="I23" s="15"/>
      <c r="J23" s="13">
        <v>5</v>
      </c>
      <c r="K23" s="12"/>
      <c r="L23" s="14"/>
      <c r="M23" s="14"/>
      <c r="O23" s="15"/>
      <c r="P23" s="15"/>
      <c r="Q23" s="13">
        <v>5</v>
      </c>
      <c r="R23" s="12"/>
      <c r="S23" s="14"/>
      <c r="T23" s="14"/>
    </row>
    <row r="24" spans="1:20" ht="15" customHeight="1" x14ac:dyDescent="0.3">
      <c r="A24" s="15"/>
      <c r="B24" s="15"/>
      <c r="C24" s="13">
        <v>6</v>
      </c>
      <c r="D24" s="12"/>
      <c r="E24" s="14"/>
      <c r="F24" s="14"/>
      <c r="H24" s="15"/>
      <c r="I24" s="15"/>
      <c r="J24" s="13">
        <v>6</v>
      </c>
      <c r="K24" s="12"/>
      <c r="L24" s="14"/>
      <c r="M24" s="14"/>
      <c r="O24" s="15"/>
      <c r="P24" s="15"/>
      <c r="Q24" s="13">
        <v>6</v>
      </c>
      <c r="R24" s="12"/>
      <c r="S24" s="14"/>
      <c r="T24" s="14"/>
    </row>
    <row r="25" spans="1:20" ht="15" customHeight="1" x14ac:dyDescent="0.3">
      <c r="A25" s="15"/>
      <c r="B25" s="15"/>
      <c r="C25" s="13">
        <v>7</v>
      </c>
      <c r="D25" s="12"/>
      <c r="E25" s="14"/>
      <c r="F25" s="14"/>
      <c r="H25" s="15"/>
      <c r="I25" s="15"/>
      <c r="J25" s="13">
        <v>7</v>
      </c>
      <c r="K25" s="12"/>
      <c r="L25" s="14"/>
      <c r="M25" s="14"/>
      <c r="O25" s="15"/>
      <c r="P25" s="15"/>
      <c r="Q25" s="13">
        <v>7</v>
      </c>
      <c r="R25" s="12"/>
      <c r="S25" s="14"/>
      <c r="T25" s="14"/>
    </row>
    <row r="26" spans="1:20" ht="15" customHeight="1" x14ac:dyDescent="0.3">
      <c r="A26" s="15"/>
      <c r="B26" s="15"/>
      <c r="C26" s="13">
        <v>8</v>
      </c>
      <c r="D26" s="12"/>
      <c r="E26" s="14"/>
      <c r="F26" s="14"/>
      <c r="H26" s="15"/>
      <c r="I26" s="15"/>
      <c r="J26" s="13">
        <v>8</v>
      </c>
      <c r="K26" s="12"/>
      <c r="L26" s="14"/>
      <c r="M26" s="14"/>
      <c r="O26" s="15"/>
      <c r="P26" s="15"/>
      <c r="Q26" s="13">
        <v>8</v>
      </c>
      <c r="R26" s="12"/>
      <c r="S26" s="14"/>
      <c r="T26" s="14"/>
    </row>
    <row r="27" spans="1:20" ht="15" customHeight="1" x14ac:dyDescent="0.3">
      <c r="A27" s="15"/>
      <c r="B27" s="15"/>
      <c r="C27" s="13">
        <v>9</v>
      </c>
      <c r="D27" s="12"/>
      <c r="E27" s="14"/>
      <c r="F27" s="14"/>
      <c r="H27" s="15"/>
      <c r="I27" s="15"/>
      <c r="J27" s="13">
        <v>9</v>
      </c>
      <c r="K27" s="12"/>
      <c r="L27" s="14"/>
      <c r="M27" s="14"/>
      <c r="O27" s="15"/>
      <c r="P27" s="15"/>
      <c r="Q27" s="13">
        <v>9</v>
      </c>
      <c r="R27" s="12"/>
      <c r="S27" s="14"/>
      <c r="T27" s="14"/>
    </row>
    <row r="28" spans="1:20" ht="15" customHeight="1" x14ac:dyDescent="0.3">
      <c r="A28" s="15"/>
      <c r="B28" s="15"/>
      <c r="C28" s="13">
        <v>10</v>
      </c>
      <c r="D28" s="12"/>
      <c r="E28" s="14"/>
      <c r="F28" s="14"/>
      <c r="H28" s="15"/>
      <c r="I28" s="15"/>
      <c r="J28" s="13">
        <v>10</v>
      </c>
      <c r="K28" s="12"/>
      <c r="L28" s="14"/>
      <c r="M28" s="14"/>
      <c r="O28" s="15"/>
      <c r="P28" s="15"/>
      <c r="Q28" s="13">
        <v>10</v>
      </c>
      <c r="R28" s="12"/>
      <c r="S28" s="14"/>
      <c r="T28" s="14"/>
    </row>
    <row r="29" spans="1:20" ht="15" customHeight="1" x14ac:dyDescent="0.3">
      <c r="A29" s="15"/>
      <c r="B29" s="15"/>
      <c r="C29" s="13">
        <v>11</v>
      </c>
      <c r="D29" s="12"/>
      <c r="E29" s="14"/>
      <c r="F29" s="14"/>
      <c r="H29" s="15"/>
      <c r="I29" s="15"/>
      <c r="J29" s="13">
        <v>11</v>
      </c>
      <c r="K29" s="12"/>
      <c r="L29" s="14"/>
      <c r="M29" s="14"/>
      <c r="O29" s="15"/>
      <c r="P29" s="15"/>
      <c r="Q29" s="13">
        <v>11</v>
      </c>
      <c r="R29" s="12"/>
      <c r="S29" s="14"/>
      <c r="T29" s="14"/>
    </row>
    <row r="30" spans="1:20" ht="15" customHeight="1" x14ac:dyDescent="0.3">
      <c r="A30" s="15"/>
      <c r="B30" s="15"/>
      <c r="C30" s="13">
        <v>12</v>
      </c>
      <c r="D30" s="12"/>
      <c r="E30" s="14"/>
      <c r="F30" s="14"/>
      <c r="H30" s="15"/>
      <c r="I30" s="15"/>
      <c r="J30" s="13">
        <v>12</v>
      </c>
      <c r="K30" s="12"/>
      <c r="L30" s="14"/>
      <c r="M30" s="14"/>
      <c r="O30" s="15"/>
      <c r="P30" s="15"/>
      <c r="Q30" s="13">
        <v>12</v>
      </c>
      <c r="R30" s="12"/>
      <c r="S30" s="14"/>
      <c r="T30" s="14"/>
    </row>
    <row r="31" spans="1:20" ht="15" customHeight="1" x14ac:dyDescent="0.3">
      <c r="A31" s="15"/>
      <c r="B31" s="15"/>
      <c r="C31" s="13">
        <v>13</v>
      </c>
      <c r="D31" s="12"/>
      <c r="E31" s="14"/>
      <c r="F31" s="14"/>
      <c r="H31" s="15"/>
      <c r="I31" s="15"/>
      <c r="J31" s="13">
        <v>13</v>
      </c>
      <c r="K31" s="12"/>
      <c r="L31" s="14"/>
      <c r="M31" s="14"/>
      <c r="O31" s="15"/>
      <c r="P31" s="15"/>
      <c r="Q31" s="13">
        <v>13</v>
      </c>
      <c r="R31" s="12"/>
      <c r="S31" s="14"/>
      <c r="T31" s="14"/>
    </row>
    <row r="32" spans="1:20" ht="15" customHeight="1" x14ac:dyDescent="0.3">
      <c r="A32" s="15"/>
      <c r="B32" s="15"/>
      <c r="C32" s="13">
        <v>14</v>
      </c>
      <c r="D32" s="12"/>
      <c r="E32" s="14"/>
      <c r="F32" s="14"/>
      <c r="H32" s="15"/>
      <c r="I32" s="15"/>
      <c r="J32" s="13">
        <v>14</v>
      </c>
      <c r="K32" s="12"/>
      <c r="L32" s="14"/>
      <c r="M32" s="14"/>
      <c r="O32" s="15"/>
      <c r="P32" s="15"/>
      <c r="Q32" s="13">
        <v>14</v>
      </c>
      <c r="R32" s="12"/>
      <c r="S32" s="14"/>
      <c r="T32" s="14"/>
    </row>
    <row r="33" spans="1:20" ht="15" customHeight="1" x14ac:dyDescent="0.3">
      <c r="A33" s="15"/>
      <c r="B33" s="15"/>
      <c r="C33" s="13">
        <v>15</v>
      </c>
      <c r="D33" s="12"/>
      <c r="E33" s="14"/>
      <c r="F33" s="14"/>
      <c r="H33" s="15"/>
      <c r="I33" s="15"/>
      <c r="J33" s="13">
        <v>15</v>
      </c>
      <c r="K33" s="12"/>
      <c r="L33" s="14"/>
      <c r="M33" s="14"/>
      <c r="O33" s="15"/>
      <c r="P33" s="15"/>
      <c r="Q33" s="13">
        <v>15</v>
      </c>
      <c r="R33" s="12"/>
      <c r="S33" s="14"/>
      <c r="T33" s="14"/>
    </row>
    <row r="35" spans="1:20" ht="15" customHeight="1" x14ac:dyDescent="0.3">
      <c r="A35" s="11" t="s">
        <v>68</v>
      </c>
      <c r="B35" s="15" t="s">
        <v>70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</row>
  </sheetData>
  <mergeCells count="25">
    <mergeCell ref="L19:L33"/>
    <mergeCell ref="M19:M33"/>
    <mergeCell ref="B35:T35"/>
    <mergeCell ref="O19:O33"/>
    <mergeCell ref="P19:P33"/>
    <mergeCell ref="S19:S33"/>
    <mergeCell ref="T19:T33"/>
    <mergeCell ref="I19:I33"/>
    <mergeCell ref="A19:A33"/>
    <mergeCell ref="B19:B33"/>
    <mergeCell ref="E19:E33"/>
    <mergeCell ref="F19:F33"/>
    <mergeCell ref="H19:H33"/>
    <mergeCell ref="T2:T16"/>
    <mergeCell ref="A2:A16"/>
    <mergeCell ref="B2:B16"/>
    <mergeCell ref="E2:E16"/>
    <mergeCell ref="F2:F16"/>
    <mergeCell ref="H2:H16"/>
    <mergeCell ref="I2:I16"/>
    <mergeCell ref="L2:L16"/>
    <mergeCell ref="M2:M16"/>
    <mergeCell ref="O2:O16"/>
    <mergeCell ref="P2:P16"/>
    <mergeCell ref="S2:S16"/>
  </mergeCells>
  <phoneticPr fontId="1" type="noConversion"/>
  <conditionalFormatting sqref="D2:D1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D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1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3845D-406F-47EF-A672-D25DE7D1A783}">
  <dimension ref="A1:P14"/>
  <sheetViews>
    <sheetView workbookViewId="0">
      <selection activeCell="K5" sqref="K5"/>
    </sheetView>
  </sheetViews>
  <sheetFormatPr defaultColWidth="10.75" defaultRowHeight="20.149999999999999" customHeight="1" x14ac:dyDescent="0.3"/>
  <cols>
    <col min="1" max="16384" width="10.75" style="3"/>
  </cols>
  <sheetData>
    <row r="1" spans="1:16" ht="20.149999999999999" customHeight="1" x14ac:dyDescent="0.3">
      <c r="A1" s="7" t="s">
        <v>55</v>
      </c>
      <c r="B1" s="7">
        <v>0</v>
      </c>
      <c r="C1" s="7">
        <v>1.2</v>
      </c>
      <c r="D1" s="7">
        <v>2.2000000000000002</v>
      </c>
      <c r="E1" s="7">
        <f>D1+0.4</f>
        <v>2.6</v>
      </c>
      <c r="F1" s="7">
        <f t="shared" ref="F1:N1" si="0">E1+0.4</f>
        <v>3</v>
      </c>
      <c r="G1" s="7">
        <f t="shared" si="0"/>
        <v>3.4</v>
      </c>
      <c r="H1" s="7">
        <f t="shared" si="0"/>
        <v>3.8</v>
      </c>
      <c r="I1" s="8">
        <f t="shared" si="0"/>
        <v>4.2</v>
      </c>
      <c r="J1" s="7">
        <f t="shared" si="0"/>
        <v>4.6000000000000005</v>
      </c>
      <c r="K1" s="7">
        <f t="shared" si="0"/>
        <v>5.0000000000000009</v>
      </c>
      <c r="L1" s="7">
        <f t="shared" si="0"/>
        <v>5.4000000000000012</v>
      </c>
      <c r="M1" s="7">
        <f t="shared" si="0"/>
        <v>5.8000000000000016</v>
      </c>
      <c r="N1" s="7">
        <f t="shared" si="0"/>
        <v>6.200000000000002</v>
      </c>
      <c r="O1" s="7">
        <v>7.2</v>
      </c>
      <c r="P1" s="7">
        <v>8.4</v>
      </c>
    </row>
    <row r="2" spans="1:16" ht="20.149999999999999" customHeight="1" x14ac:dyDescent="0.3">
      <c r="A2" s="7">
        <v>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6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</row>
    <row r="3" spans="1:16" ht="20.149999999999999" customHeight="1" x14ac:dyDescent="0.3">
      <c r="A3" s="7">
        <v>0.4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6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</row>
    <row r="4" spans="1:16" ht="20.149999999999999" customHeight="1" x14ac:dyDescent="0.3">
      <c r="A4" s="7">
        <f t="shared" ref="A4:A13" si="1">A3+0.4</f>
        <v>0.8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6">
        <v>0</v>
      </c>
      <c r="J4" s="5">
        <v>0.193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</row>
    <row r="5" spans="1:16" ht="20.149999999999999" customHeight="1" x14ac:dyDescent="0.3">
      <c r="A5" s="7">
        <f t="shared" si="1"/>
        <v>1.2000000000000002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0.17499999999999999</v>
      </c>
      <c r="H5" s="5">
        <v>0.35899999999999999</v>
      </c>
      <c r="I5" s="6">
        <v>0.21</v>
      </c>
      <c r="J5" s="5">
        <v>0.47799999999999998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</row>
    <row r="6" spans="1:16" ht="20.149999999999999" customHeight="1" x14ac:dyDescent="0.3">
      <c r="A6" s="7">
        <f t="shared" si="1"/>
        <v>1.6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0.13100000000000001</v>
      </c>
      <c r="H6" s="5">
        <v>0.441</v>
      </c>
      <c r="I6" s="6">
        <v>0.36299999999999999</v>
      </c>
      <c r="J6" s="5">
        <v>0.65200000000000002</v>
      </c>
      <c r="K6" s="5">
        <v>0.159</v>
      </c>
      <c r="L6" s="5">
        <v>0.39800000000000002</v>
      </c>
      <c r="M6" s="5">
        <v>0</v>
      </c>
      <c r="N6" s="5">
        <v>0</v>
      </c>
      <c r="O6" s="5">
        <v>0</v>
      </c>
      <c r="P6" s="5">
        <v>0</v>
      </c>
    </row>
    <row r="7" spans="1:16" ht="20.149999999999999" customHeight="1" x14ac:dyDescent="0.3">
      <c r="A7" s="7">
        <f t="shared" si="1"/>
        <v>2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0.52600000000000002</v>
      </c>
      <c r="H7" s="5">
        <v>4.3010000000000002</v>
      </c>
      <c r="I7" s="6">
        <v>1.849</v>
      </c>
      <c r="J7" s="5">
        <v>3.3039999999999998</v>
      </c>
      <c r="K7" s="5">
        <v>0.626</v>
      </c>
      <c r="L7" s="5">
        <v>0.36899999999999999</v>
      </c>
      <c r="M7" s="5">
        <v>0</v>
      </c>
      <c r="N7" s="5">
        <v>0</v>
      </c>
      <c r="O7" s="5">
        <v>0</v>
      </c>
      <c r="P7" s="5">
        <v>0</v>
      </c>
    </row>
    <row r="8" spans="1:16" ht="20.149999999999999" customHeight="1" x14ac:dyDescent="0.3">
      <c r="A8" s="8">
        <f t="shared" si="1"/>
        <v>2.4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0.35499999999999998</v>
      </c>
      <c r="H8" s="6">
        <v>0.84</v>
      </c>
      <c r="I8" s="6">
        <v>1.26</v>
      </c>
      <c r="J8" s="6">
        <v>3.1880000000000002</v>
      </c>
      <c r="K8" s="6">
        <v>0.47</v>
      </c>
      <c r="L8" s="6">
        <v>0.29299999999999998</v>
      </c>
      <c r="M8" s="6">
        <v>0</v>
      </c>
      <c r="N8" s="6">
        <v>0</v>
      </c>
      <c r="O8" s="6">
        <v>0</v>
      </c>
      <c r="P8" s="6">
        <v>0</v>
      </c>
    </row>
    <row r="9" spans="1:16" ht="20.149999999999999" customHeight="1" x14ac:dyDescent="0.3">
      <c r="A9" s="7">
        <f t="shared" si="1"/>
        <v>2.8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0.221</v>
      </c>
      <c r="H9" s="5">
        <v>4.7430000000000003</v>
      </c>
      <c r="I9" s="6">
        <v>3.2730000000000001</v>
      </c>
      <c r="J9" s="5">
        <v>2.887</v>
      </c>
      <c r="K9" s="5">
        <v>0.501</v>
      </c>
      <c r="L9" s="5">
        <v>0.27100000000000002</v>
      </c>
      <c r="M9" s="5">
        <v>0</v>
      </c>
      <c r="N9" s="5">
        <v>0</v>
      </c>
      <c r="O9" s="5">
        <v>0</v>
      </c>
      <c r="P9" s="5">
        <v>0</v>
      </c>
    </row>
    <row r="10" spans="1:16" ht="20.149999999999999" customHeight="1" x14ac:dyDescent="0.3">
      <c r="A10" s="7">
        <f t="shared" si="1"/>
        <v>3.1999999999999997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0.38200000000000001</v>
      </c>
      <c r="H10" s="5">
        <v>0.39</v>
      </c>
      <c r="I10" s="6">
        <v>0.17699999999999999</v>
      </c>
      <c r="J10" s="5">
        <v>7.4999999999999997E-2</v>
      </c>
      <c r="K10" s="5">
        <v>0.32300000000000001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</row>
    <row r="11" spans="1:16" ht="20.149999999999999" customHeight="1" x14ac:dyDescent="0.3">
      <c r="A11" s="7">
        <f t="shared" si="1"/>
        <v>3.5999999999999996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6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</row>
    <row r="12" spans="1:16" ht="20.149999999999999" customHeight="1" x14ac:dyDescent="0.3">
      <c r="A12" s="7">
        <f t="shared" si="1"/>
        <v>3.9999999999999996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6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</row>
    <row r="13" spans="1:16" ht="20.149999999999999" customHeight="1" x14ac:dyDescent="0.3">
      <c r="A13" s="7">
        <f t="shared" si="1"/>
        <v>4.3999999999999995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6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</row>
    <row r="14" spans="1:16" ht="20.149999999999999" customHeight="1" x14ac:dyDescent="0.3">
      <c r="A14" s="7">
        <v>4.8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6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</row>
  </sheetData>
  <phoneticPr fontId="1" type="noConversion"/>
  <conditionalFormatting sqref="B2:P1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1F300-031B-4FC2-891E-1A4A94B41612}">
  <dimension ref="A1:T33"/>
  <sheetViews>
    <sheetView zoomScale="85" zoomScaleNormal="85" workbookViewId="0">
      <selection activeCell="Q57" sqref="Q57"/>
    </sheetView>
  </sheetViews>
  <sheetFormatPr defaultColWidth="10.75" defaultRowHeight="15" customHeight="1" x14ac:dyDescent="0.3"/>
  <cols>
    <col min="1" max="16384" width="10.75" style="10"/>
  </cols>
  <sheetData>
    <row r="1" spans="1:20" ht="15" customHeight="1" x14ac:dyDescent="0.3">
      <c r="A1" s="11" t="s">
        <v>62</v>
      </c>
      <c r="B1" s="11" t="s">
        <v>63</v>
      </c>
      <c r="C1" s="11" t="s">
        <v>64</v>
      </c>
      <c r="D1" s="11" t="s">
        <v>65</v>
      </c>
      <c r="E1" s="11" t="s">
        <v>66</v>
      </c>
      <c r="F1" s="11" t="s">
        <v>67</v>
      </c>
      <c r="H1" s="11" t="s">
        <v>62</v>
      </c>
      <c r="I1" s="11" t="s">
        <v>63</v>
      </c>
      <c r="J1" s="11" t="s">
        <v>64</v>
      </c>
      <c r="K1" s="11" t="s">
        <v>65</v>
      </c>
      <c r="L1" s="11" t="s">
        <v>66</v>
      </c>
      <c r="M1" s="11" t="s">
        <v>67</v>
      </c>
      <c r="O1" s="11" t="s">
        <v>62</v>
      </c>
      <c r="P1" s="11" t="s">
        <v>63</v>
      </c>
      <c r="Q1" s="11" t="s">
        <v>64</v>
      </c>
      <c r="R1" s="11" t="s">
        <v>65</v>
      </c>
      <c r="S1" s="11" t="s">
        <v>66</v>
      </c>
      <c r="T1" s="11" t="s">
        <v>67</v>
      </c>
    </row>
    <row r="2" spans="1:20" ht="15" customHeight="1" x14ac:dyDescent="0.3">
      <c r="A2" s="15">
        <v>4.5999999999999996</v>
      </c>
      <c r="B2" s="15">
        <v>2.4</v>
      </c>
      <c r="C2" s="13">
        <v>1</v>
      </c>
      <c r="D2" s="12">
        <v>3.141</v>
      </c>
      <c r="E2" s="14">
        <f>AVERAGE(D2:D16)</f>
        <v>3.1878000000000002</v>
      </c>
      <c r="F2" s="14">
        <f>_xlfn.VAR.S(D2:D16)</f>
        <v>0.16625202857142898</v>
      </c>
      <c r="H2" s="15">
        <v>3.8</v>
      </c>
      <c r="I2" s="15">
        <v>2.4</v>
      </c>
      <c r="J2" s="13">
        <v>1</v>
      </c>
      <c r="K2" s="12">
        <v>0.84099999999999997</v>
      </c>
      <c r="L2" s="14">
        <f>AVERAGE(K2:K16)</f>
        <v>0.84046666666666658</v>
      </c>
      <c r="M2" s="14">
        <f>_xlfn.VAR.S(K2:K16)</f>
        <v>1.6706266666666889E-2</v>
      </c>
      <c r="O2" s="15">
        <v>4.2</v>
      </c>
      <c r="P2" s="15">
        <v>1.6</v>
      </c>
      <c r="Q2" s="13">
        <v>1</v>
      </c>
      <c r="R2" s="12">
        <v>0.60499999999999998</v>
      </c>
      <c r="S2" s="14">
        <f>AVERAGE(R2:R16)</f>
        <v>0.36286666666666662</v>
      </c>
      <c r="T2" s="14">
        <f>_xlfn.VAR.S(R2:R16)</f>
        <v>1.2914266666666683E-2</v>
      </c>
    </row>
    <row r="3" spans="1:20" ht="15" customHeight="1" x14ac:dyDescent="0.3">
      <c r="A3" s="15"/>
      <c r="B3" s="15"/>
      <c r="C3" s="13">
        <v>2</v>
      </c>
      <c r="D3" s="12">
        <v>3.7320000000000002</v>
      </c>
      <c r="E3" s="14"/>
      <c r="F3" s="14"/>
      <c r="H3" s="15"/>
      <c r="I3" s="15"/>
      <c r="J3" s="13">
        <v>2</v>
      </c>
      <c r="K3" s="12">
        <v>0.87</v>
      </c>
      <c r="L3" s="14"/>
      <c r="M3" s="14"/>
      <c r="O3" s="15"/>
      <c r="P3" s="15"/>
      <c r="Q3" s="13">
        <v>2</v>
      </c>
      <c r="R3" s="12">
        <v>0.255</v>
      </c>
      <c r="S3" s="14"/>
      <c r="T3" s="14"/>
    </row>
    <row r="4" spans="1:20" ht="15" customHeight="1" x14ac:dyDescent="0.3">
      <c r="A4" s="15"/>
      <c r="B4" s="15"/>
      <c r="C4" s="13">
        <v>3</v>
      </c>
      <c r="D4" s="12">
        <v>3.2490000000000001</v>
      </c>
      <c r="E4" s="14"/>
      <c r="F4" s="14"/>
      <c r="H4" s="15"/>
      <c r="I4" s="15"/>
      <c r="J4" s="13">
        <v>3</v>
      </c>
      <c r="K4" s="12">
        <v>0.70099999999999996</v>
      </c>
      <c r="L4" s="14"/>
      <c r="M4" s="14"/>
      <c r="O4" s="15"/>
      <c r="P4" s="15"/>
      <c r="Q4" s="13">
        <v>3</v>
      </c>
      <c r="R4" s="12">
        <v>0.14000000000000001</v>
      </c>
      <c r="S4" s="14"/>
      <c r="T4" s="14"/>
    </row>
    <row r="5" spans="1:20" ht="15" customHeight="1" x14ac:dyDescent="0.3">
      <c r="A5" s="15"/>
      <c r="B5" s="15"/>
      <c r="C5" s="13">
        <v>4</v>
      </c>
      <c r="D5" s="12">
        <v>2.25</v>
      </c>
      <c r="E5" s="14"/>
      <c r="F5" s="14"/>
      <c r="H5" s="15"/>
      <c r="I5" s="15"/>
      <c r="J5" s="13">
        <v>4</v>
      </c>
      <c r="K5" s="12">
        <v>0.68100000000000005</v>
      </c>
      <c r="L5" s="14"/>
      <c r="M5" s="14"/>
      <c r="O5" s="15"/>
      <c r="P5" s="15"/>
      <c r="Q5" s="13">
        <v>4</v>
      </c>
      <c r="R5" s="12">
        <v>0.26400000000000001</v>
      </c>
      <c r="S5" s="14"/>
      <c r="T5" s="14"/>
    </row>
    <row r="6" spans="1:20" ht="15" customHeight="1" x14ac:dyDescent="0.3">
      <c r="A6" s="15"/>
      <c r="B6" s="15"/>
      <c r="C6" s="13">
        <v>5</v>
      </c>
      <c r="D6" s="12">
        <v>2.895</v>
      </c>
      <c r="E6" s="14"/>
      <c r="F6" s="14"/>
      <c r="H6" s="15"/>
      <c r="I6" s="15"/>
      <c r="J6" s="13">
        <v>5</v>
      </c>
      <c r="K6" s="12">
        <v>0.67300000000000004</v>
      </c>
      <c r="L6" s="14"/>
      <c r="M6" s="14"/>
      <c r="O6" s="15"/>
      <c r="P6" s="15"/>
      <c r="Q6" s="13">
        <v>5</v>
      </c>
      <c r="R6" s="12">
        <v>0.44700000000000001</v>
      </c>
      <c r="S6" s="14"/>
      <c r="T6" s="14"/>
    </row>
    <row r="7" spans="1:20" ht="15" customHeight="1" x14ac:dyDescent="0.3">
      <c r="A7" s="15"/>
      <c r="B7" s="15"/>
      <c r="C7" s="13">
        <v>6</v>
      </c>
      <c r="D7" s="12">
        <v>2.6070000000000002</v>
      </c>
      <c r="E7" s="14"/>
      <c r="F7" s="14"/>
      <c r="H7" s="15"/>
      <c r="I7" s="15"/>
      <c r="J7" s="13">
        <v>6</v>
      </c>
      <c r="K7" s="12">
        <v>0.75900000000000001</v>
      </c>
      <c r="L7" s="14"/>
      <c r="M7" s="14"/>
      <c r="O7" s="15"/>
      <c r="P7" s="15"/>
      <c r="Q7" s="13">
        <v>6</v>
      </c>
      <c r="R7" s="12">
        <v>0.42399999999999999</v>
      </c>
      <c r="S7" s="14"/>
      <c r="T7" s="14"/>
    </row>
    <row r="8" spans="1:20" ht="15" customHeight="1" x14ac:dyDescent="0.3">
      <c r="A8" s="15"/>
      <c r="B8" s="15"/>
      <c r="C8" s="13">
        <v>7</v>
      </c>
      <c r="D8" s="12">
        <v>3.5209999999999999</v>
      </c>
      <c r="E8" s="14"/>
      <c r="F8" s="14"/>
      <c r="H8" s="15"/>
      <c r="I8" s="15"/>
      <c r="J8" s="13">
        <v>7</v>
      </c>
      <c r="K8" s="12">
        <v>0.76300000000000001</v>
      </c>
      <c r="L8" s="14"/>
      <c r="M8" s="14"/>
      <c r="O8" s="15"/>
      <c r="P8" s="15"/>
      <c r="Q8" s="13">
        <v>7</v>
      </c>
      <c r="R8" s="12">
        <v>0.29099999999999998</v>
      </c>
      <c r="S8" s="14"/>
      <c r="T8" s="14"/>
    </row>
    <row r="9" spans="1:20" ht="15" customHeight="1" x14ac:dyDescent="0.3">
      <c r="A9" s="15"/>
      <c r="B9" s="15"/>
      <c r="C9" s="13">
        <v>8</v>
      </c>
      <c r="D9" s="12">
        <v>2.891</v>
      </c>
      <c r="E9" s="14"/>
      <c r="F9" s="14"/>
      <c r="H9" s="15"/>
      <c r="I9" s="15"/>
      <c r="J9" s="13">
        <v>8</v>
      </c>
      <c r="K9" s="12">
        <v>0.80200000000000005</v>
      </c>
      <c r="L9" s="14"/>
      <c r="M9" s="14"/>
      <c r="O9" s="15"/>
      <c r="P9" s="15"/>
      <c r="Q9" s="13">
        <v>8</v>
      </c>
      <c r="R9" s="12">
        <v>0.42799999999999999</v>
      </c>
      <c r="S9" s="14"/>
      <c r="T9" s="14"/>
    </row>
    <row r="10" spans="1:20" ht="15" customHeight="1" x14ac:dyDescent="0.3">
      <c r="A10" s="15"/>
      <c r="B10" s="15"/>
      <c r="C10" s="13">
        <v>9</v>
      </c>
      <c r="D10" s="12">
        <v>3.6960000000000002</v>
      </c>
      <c r="E10" s="14"/>
      <c r="F10" s="14"/>
      <c r="H10" s="15"/>
      <c r="I10" s="15"/>
      <c r="J10" s="13">
        <v>9</v>
      </c>
      <c r="K10" s="12">
        <v>0.74199999999999999</v>
      </c>
      <c r="L10" s="14"/>
      <c r="M10" s="14"/>
      <c r="O10" s="15"/>
      <c r="P10" s="15"/>
      <c r="Q10" s="13">
        <v>9</v>
      </c>
      <c r="R10" s="12">
        <v>0.38200000000000001</v>
      </c>
      <c r="S10" s="14"/>
      <c r="T10" s="14"/>
    </row>
    <row r="11" spans="1:20" ht="15" customHeight="1" x14ac:dyDescent="0.3">
      <c r="A11" s="15"/>
      <c r="B11" s="15"/>
      <c r="C11" s="13">
        <v>10</v>
      </c>
      <c r="D11" s="12">
        <v>3.0979999999999999</v>
      </c>
      <c r="E11" s="14"/>
      <c r="F11" s="14"/>
      <c r="H11" s="15"/>
      <c r="I11" s="15"/>
      <c r="J11" s="13">
        <v>10</v>
      </c>
      <c r="K11" s="12">
        <v>0.91200000000000003</v>
      </c>
      <c r="L11" s="14"/>
      <c r="M11" s="14"/>
      <c r="O11" s="15"/>
      <c r="P11" s="15"/>
      <c r="Q11" s="13">
        <v>10</v>
      </c>
      <c r="R11" s="12">
        <v>0.30399999999999999</v>
      </c>
      <c r="S11" s="14"/>
      <c r="T11" s="14"/>
    </row>
    <row r="12" spans="1:20" ht="15" customHeight="1" x14ac:dyDescent="0.3">
      <c r="A12" s="15"/>
      <c r="B12" s="15"/>
      <c r="C12" s="13">
        <v>11</v>
      </c>
      <c r="D12" s="12">
        <v>3.2679999999999998</v>
      </c>
      <c r="E12" s="14"/>
      <c r="F12" s="14"/>
      <c r="H12" s="15"/>
      <c r="I12" s="15"/>
      <c r="J12" s="13">
        <v>11</v>
      </c>
      <c r="K12" s="12">
        <v>1.018</v>
      </c>
      <c r="L12" s="14"/>
      <c r="M12" s="14"/>
      <c r="O12" s="15"/>
      <c r="P12" s="15"/>
      <c r="Q12" s="13">
        <v>11</v>
      </c>
      <c r="R12" s="12">
        <v>0.31900000000000001</v>
      </c>
      <c r="S12" s="14"/>
      <c r="T12" s="14"/>
    </row>
    <row r="13" spans="1:20" ht="15" customHeight="1" x14ac:dyDescent="0.3">
      <c r="A13" s="15"/>
      <c r="B13" s="15"/>
      <c r="C13" s="13">
        <v>12</v>
      </c>
      <c r="D13" s="12">
        <v>3.2730000000000001</v>
      </c>
      <c r="E13" s="14"/>
      <c r="F13" s="14"/>
      <c r="H13" s="15"/>
      <c r="I13" s="15"/>
      <c r="J13" s="13">
        <v>12</v>
      </c>
      <c r="K13" s="12">
        <v>1.1220000000000001</v>
      </c>
      <c r="L13" s="14"/>
      <c r="M13" s="14"/>
      <c r="O13" s="15"/>
      <c r="P13" s="15"/>
      <c r="Q13" s="13">
        <v>12</v>
      </c>
      <c r="R13" s="12">
        <v>0.46700000000000003</v>
      </c>
      <c r="S13" s="14"/>
      <c r="T13" s="14"/>
    </row>
    <row r="14" spans="1:20" ht="15" customHeight="1" x14ac:dyDescent="0.3">
      <c r="A14" s="15"/>
      <c r="B14" s="15"/>
      <c r="C14" s="13">
        <v>13</v>
      </c>
      <c r="D14" s="12">
        <v>3.1829999999999998</v>
      </c>
      <c r="E14" s="14"/>
      <c r="F14" s="14"/>
      <c r="H14" s="15"/>
      <c r="I14" s="15"/>
      <c r="J14" s="13">
        <v>13</v>
      </c>
      <c r="K14" s="12">
        <v>0.878</v>
      </c>
      <c r="L14" s="14"/>
      <c r="M14" s="14"/>
      <c r="O14" s="15"/>
      <c r="P14" s="15"/>
      <c r="Q14" s="13">
        <v>13</v>
      </c>
      <c r="R14" s="12">
        <v>0.46600000000000003</v>
      </c>
      <c r="S14" s="14"/>
      <c r="T14" s="14"/>
    </row>
    <row r="15" spans="1:20" ht="15" customHeight="1" x14ac:dyDescent="0.3">
      <c r="A15" s="15"/>
      <c r="B15" s="15"/>
      <c r="C15" s="13">
        <v>14</v>
      </c>
      <c r="D15" s="12">
        <v>3.3639999999999999</v>
      </c>
      <c r="E15" s="14"/>
      <c r="F15" s="14"/>
      <c r="H15" s="15"/>
      <c r="I15" s="15"/>
      <c r="J15" s="13">
        <v>14</v>
      </c>
      <c r="K15" s="12">
        <v>0.87</v>
      </c>
      <c r="L15" s="14"/>
      <c r="M15" s="14"/>
      <c r="O15" s="15"/>
      <c r="P15" s="15"/>
      <c r="Q15" s="13">
        <v>14</v>
      </c>
      <c r="R15" s="12">
        <v>0.30499999999999999</v>
      </c>
      <c r="S15" s="14"/>
      <c r="T15" s="14"/>
    </row>
    <row r="16" spans="1:20" ht="15" customHeight="1" x14ac:dyDescent="0.3">
      <c r="A16" s="15"/>
      <c r="B16" s="15"/>
      <c r="C16" s="13">
        <v>15</v>
      </c>
      <c r="D16" s="12">
        <v>3.649</v>
      </c>
      <c r="E16" s="14"/>
      <c r="F16" s="14"/>
      <c r="H16" s="15"/>
      <c r="I16" s="15"/>
      <c r="J16" s="13">
        <v>15</v>
      </c>
      <c r="K16" s="12">
        <v>0.97499999999999998</v>
      </c>
      <c r="L16" s="14"/>
      <c r="M16" s="14"/>
      <c r="O16" s="15"/>
      <c r="P16" s="15"/>
      <c r="Q16" s="13">
        <v>15</v>
      </c>
      <c r="R16" s="12">
        <v>0.34599999999999997</v>
      </c>
      <c r="S16" s="14"/>
      <c r="T16" s="14"/>
    </row>
    <row r="18" spans="1:20" ht="15" customHeight="1" x14ac:dyDescent="0.3">
      <c r="A18" s="11" t="s">
        <v>62</v>
      </c>
      <c r="B18" s="11" t="s">
        <v>63</v>
      </c>
      <c r="C18" s="11" t="s">
        <v>64</v>
      </c>
      <c r="D18" s="11" t="s">
        <v>65</v>
      </c>
      <c r="E18" s="11" t="s">
        <v>66</v>
      </c>
      <c r="F18" s="11" t="s">
        <v>67</v>
      </c>
      <c r="H18" s="11" t="s">
        <v>62</v>
      </c>
      <c r="I18" s="11" t="s">
        <v>63</v>
      </c>
      <c r="J18" s="11" t="s">
        <v>64</v>
      </c>
      <c r="K18" s="11" t="s">
        <v>65</v>
      </c>
      <c r="L18" s="11" t="s">
        <v>66</v>
      </c>
      <c r="M18" s="11" t="s">
        <v>67</v>
      </c>
      <c r="O18" s="11" t="s">
        <v>62</v>
      </c>
      <c r="P18" s="11" t="s">
        <v>63</v>
      </c>
      <c r="Q18" s="11" t="s">
        <v>64</v>
      </c>
      <c r="R18" s="11" t="s">
        <v>65</v>
      </c>
      <c r="S18" s="11" t="s">
        <v>66</v>
      </c>
      <c r="T18" s="11" t="s">
        <v>67</v>
      </c>
    </row>
    <row r="19" spans="1:20" ht="15" customHeight="1" x14ac:dyDescent="0.3">
      <c r="A19" s="15">
        <v>3.8</v>
      </c>
      <c r="B19" s="15">
        <v>3.2</v>
      </c>
      <c r="C19" s="13">
        <v>1</v>
      </c>
      <c r="D19" s="12">
        <v>0.255</v>
      </c>
      <c r="E19" s="14">
        <f>AVERAGE(D19:D33)</f>
        <v>0.38979999999999998</v>
      </c>
      <c r="F19" s="14">
        <f>_xlfn.VAR.S(D19:D33)</f>
        <v>1.4340600000000021E-2</v>
      </c>
      <c r="H19" s="15">
        <v>5.4</v>
      </c>
      <c r="I19" s="15">
        <v>2.8</v>
      </c>
      <c r="J19" s="13">
        <v>1</v>
      </c>
      <c r="K19" s="12">
        <v>0.26100000000000001</v>
      </c>
      <c r="L19" s="14">
        <f>AVERAGE(K19:K33)</f>
        <v>0.27066666666666672</v>
      </c>
      <c r="M19" s="14">
        <f>_xlfn.VAR.S(K19:K33)</f>
        <v>2.2176380952380916E-2</v>
      </c>
      <c r="O19" s="15">
        <v>5</v>
      </c>
      <c r="P19" s="15">
        <v>1.2</v>
      </c>
      <c r="Q19" s="13">
        <v>1</v>
      </c>
      <c r="R19" s="12">
        <v>0</v>
      </c>
      <c r="S19" s="14">
        <f>AVERAGE(R19:R33)</f>
        <v>0</v>
      </c>
      <c r="T19" s="14">
        <f>_xlfn.VAR.S(R19:R33)</f>
        <v>0</v>
      </c>
    </row>
    <row r="20" spans="1:20" ht="15" customHeight="1" x14ac:dyDescent="0.3">
      <c r="A20" s="15"/>
      <c r="B20" s="15"/>
      <c r="C20" s="13">
        <v>2</v>
      </c>
      <c r="D20" s="12">
        <v>0.11700000000000001</v>
      </c>
      <c r="E20" s="14"/>
      <c r="F20" s="14"/>
      <c r="H20" s="15"/>
      <c r="I20" s="15"/>
      <c r="J20" s="13">
        <v>2</v>
      </c>
      <c r="K20" s="12">
        <v>0.23899999999999999</v>
      </c>
      <c r="L20" s="14"/>
      <c r="M20" s="14"/>
      <c r="O20" s="15"/>
      <c r="P20" s="15"/>
      <c r="Q20" s="13">
        <v>2</v>
      </c>
      <c r="R20" s="12">
        <v>0</v>
      </c>
      <c r="S20" s="14"/>
      <c r="T20" s="14"/>
    </row>
    <row r="21" spans="1:20" ht="15" customHeight="1" x14ac:dyDescent="0.3">
      <c r="A21" s="15"/>
      <c r="B21" s="15"/>
      <c r="C21" s="13">
        <v>3</v>
      </c>
      <c r="D21" s="12">
        <v>0.40500000000000003</v>
      </c>
      <c r="E21" s="14"/>
      <c r="F21" s="14"/>
      <c r="H21" s="15"/>
      <c r="I21" s="15"/>
      <c r="J21" s="13">
        <v>3</v>
      </c>
      <c r="K21" s="12">
        <v>0.03</v>
      </c>
      <c r="L21" s="14"/>
      <c r="M21" s="14"/>
      <c r="O21" s="15"/>
      <c r="P21" s="15"/>
      <c r="Q21" s="13">
        <v>3</v>
      </c>
      <c r="R21" s="12">
        <v>0</v>
      </c>
      <c r="S21" s="14"/>
      <c r="T21" s="14"/>
    </row>
    <row r="22" spans="1:20" ht="15" customHeight="1" x14ac:dyDescent="0.3">
      <c r="A22" s="15"/>
      <c r="B22" s="15"/>
      <c r="C22" s="13">
        <v>4</v>
      </c>
      <c r="D22" s="12">
        <v>0.52400000000000002</v>
      </c>
      <c r="E22" s="14"/>
      <c r="F22" s="14"/>
      <c r="H22" s="15"/>
      <c r="I22" s="15"/>
      <c r="J22" s="13">
        <v>4</v>
      </c>
      <c r="K22" s="12">
        <v>0.152</v>
      </c>
      <c r="L22" s="14"/>
      <c r="M22" s="14"/>
      <c r="O22" s="15"/>
      <c r="P22" s="15"/>
      <c r="Q22" s="13">
        <v>4</v>
      </c>
      <c r="R22" s="12">
        <v>0</v>
      </c>
      <c r="S22" s="14"/>
      <c r="T22" s="14"/>
    </row>
    <row r="23" spans="1:20" ht="15" customHeight="1" x14ac:dyDescent="0.3">
      <c r="A23" s="15"/>
      <c r="B23" s="15"/>
      <c r="C23" s="13">
        <v>5</v>
      </c>
      <c r="D23" s="12">
        <v>0.499</v>
      </c>
      <c r="E23" s="14"/>
      <c r="F23" s="14"/>
      <c r="H23" s="15"/>
      <c r="I23" s="15"/>
      <c r="J23" s="13">
        <v>5</v>
      </c>
      <c r="K23" s="12">
        <v>7.6999999999999999E-2</v>
      </c>
      <c r="L23" s="14"/>
      <c r="M23" s="14"/>
      <c r="O23" s="15"/>
      <c r="P23" s="15"/>
      <c r="Q23" s="13">
        <v>5</v>
      </c>
      <c r="R23" s="12">
        <v>0</v>
      </c>
      <c r="S23" s="14"/>
      <c r="T23" s="14"/>
    </row>
    <row r="24" spans="1:20" ht="15" customHeight="1" x14ac:dyDescent="0.3">
      <c r="A24" s="15"/>
      <c r="B24" s="15"/>
      <c r="C24" s="13">
        <v>6</v>
      </c>
      <c r="D24" s="12">
        <v>0.46100000000000002</v>
      </c>
      <c r="E24" s="14"/>
      <c r="F24" s="14"/>
      <c r="H24" s="15"/>
      <c r="I24" s="15"/>
      <c r="J24" s="13">
        <v>6</v>
      </c>
      <c r="K24" s="12">
        <v>0.24099999999999999</v>
      </c>
      <c r="L24" s="14"/>
      <c r="M24" s="14"/>
      <c r="O24" s="15"/>
      <c r="P24" s="15"/>
      <c r="Q24" s="13">
        <v>6</v>
      </c>
      <c r="R24" s="12">
        <v>0</v>
      </c>
      <c r="S24" s="14"/>
      <c r="T24" s="14"/>
    </row>
    <row r="25" spans="1:20" ht="15" customHeight="1" x14ac:dyDescent="0.3">
      <c r="A25" s="15"/>
      <c r="B25" s="15"/>
      <c r="C25" s="13">
        <v>7</v>
      </c>
      <c r="D25" s="12">
        <v>0.496</v>
      </c>
      <c r="E25" s="14"/>
      <c r="F25" s="14"/>
      <c r="H25" s="15"/>
      <c r="I25" s="15"/>
      <c r="J25" s="13">
        <v>7</v>
      </c>
      <c r="K25" s="12">
        <v>0.2</v>
      </c>
      <c r="L25" s="14"/>
      <c r="M25" s="14"/>
      <c r="O25" s="15"/>
      <c r="P25" s="15"/>
      <c r="Q25" s="13">
        <v>7</v>
      </c>
      <c r="R25" s="12">
        <v>0</v>
      </c>
      <c r="S25" s="14"/>
      <c r="T25" s="14"/>
    </row>
    <row r="26" spans="1:20" ht="15" customHeight="1" x14ac:dyDescent="0.3">
      <c r="A26" s="15"/>
      <c r="B26" s="15"/>
      <c r="C26" s="13">
        <v>8</v>
      </c>
      <c r="D26" s="12">
        <v>0.371</v>
      </c>
      <c r="E26" s="14"/>
      <c r="F26" s="14"/>
      <c r="H26" s="15"/>
      <c r="I26" s="15"/>
      <c r="J26" s="13">
        <v>8</v>
      </c>
      <c r="K26" s="12">
        <v>0.38800000000000001</v>
      </c>
      <c r="L26" s="14"/>
      <c r="M26" s="14"/>
      <c r="O26" s="15"/>
      <c r="P26" s="15"/>
      <c r="Q26" s="13">
        <v>8</v>
      </c>
      <c r="R26" s="12">
        <v>0</v>
      </c>
      <c r="S26" s="14"/>
      <c r="T26" s="14"/>
    </row>
    <row r="27" spans="1:20" ht="15" customHeight="1" x14ac:dyDescent="0.3">
      <c r="A27" s="15"/>
      <c r="B27" s="15"/>
      <c r="C27" s="13">
        <v>9</v>
      </c>
      <c r="D27" s="12">
        <v>0.23799999999999999</v>
      </c>
      <c r="E27" s="14"/>
      <c r="F27" s="14"/>
      <c r="H27" s="15"/>
      <c r="I27" s="15"/>
      <c r="J27" s="13">
        <v>9</v>
      </c>
      <c r="K27" s="12">
        <v>0.49299999999999999</v>
      </c>
      <c r="L27" s="14"/>
      <c r="M27" s="14"/>
      <c r="O27" s="15"/>
      <c r="P27" s="15"/>
      <c r="Q27" s="13">
        <v>9</v>
      </c>
      <c r="R27" s="12">
        <v>0</v>
      </c>
      <c r="S27" s="14"/>
      <c r="T27" s="14"/>
    </row>
    <row r="28" spans="1:20" ht="15" customHeight="1" x14ac:dyDescent="0.3">
      <c r="A28" s="15"/>
      <c r="B28" s="15"/>
      <c r="C28" s="13">
        <v>10</v>
      </c>
      <c r="D28" s="12">
        <v>0.30399999999999999</v>
      </c>
      <c r="E28" s="14"/>
      <c r="F28" s="14"/>
      <c r="H28" s="15"/>
      <c r="I28" s="15"/>
      <c r="J28" s="13">
        <v>10</v>
      </c>
      <c r="K28" s="12">
        <v>0.38</v>
      </c>
      <c r="L28" s="14"/>
      <c r="M28" s="14"/>
      <c r="O28" s="15"/>
      <c r="P28" s="15"/>
      <c r="Q28" s="13">
        <v>10</v>
      </c>
      <c r="R28" s="12">
        <v>0</v>
      </c>
      <c r="S28" s="14"/>
      <c r="T28" s="14"/>
    </row>
    <row r="29" spans="1:20" ht="15" customHeight="1" x14ac:dyDescent="0.3">
      <c r="A29" s="15"/>
      <c r="B29" s="15"/>
      <c r="C29" s="13">
        <v>11</v>
      </c>
      <c r="D29" s="12">
        <v>0.376</v>
      </c>
      <c r="E29" s="14"/>
      <c r="F29" s="14"/>
      <c r="H29" s="15"/>
      <c r="I29" s="15"/>
      <c r="J29" s="13">
        <v>11</v>
      </c>
      <c r="K29" s="12">
        <v>9.9000000000000005E-2</v>
      </c>
      <c r="L29" s="14"/>
      <c r="M29" s="14"/>
      <c r="O29" s="15"/>
      <c r="P29" s="15"/>
      <c r="Q29" s="13">
        <v>11</v>
      </c>
      <c r="R29" s="12">
        <v>0</v>
      </c>
      <c r="S29" s="14"/>
      <c r="T29" s="14"/>
    </row>
    <row r="30" spans="1:20" ht="15" customHeight="1" x14ac:dyDescent="0.3">
      <c r="A30" s="15"/>
      <c r="B30" s="15"/>
      <c r="C30" s="13">
        <v>12</v>
      </c>
      <c r="D30" s="12">
        <v>0.377</v>
      </c>
      <c r="E30" s="14"/>
      <c r="F30" s="14"/>
      <c r="H30" s="15"/>
      <c r="I30" s="15"/>
      <c r="J30" s="13">
        <v>12</v>
      </c>
      <c r="K30" s="12">
        <v>0.29299999999999998</v>
      </c>
      <c r="L30" s="14"/>
      <c r="M30" s="14"/>
      <c r="O30" s="15"/>
      <c r="P30" s="15"/>
      <c r="Q30" s="13">
        <v>12</v>
      </c>
      <c r="R30" s="12">
        <v>0</v>
      </c>
      <c r="S30" s="14"/>
      <c r="T30" s="14"/>
    </row>
    <row r="31" spans="1:20" ht="15" customHeight="1" x14ac:dyDescent="0.3">
      <c r="A31" s="15"/>
      <c r="B31" s="15"/>
      <c r="C31" s="13">
        <v>13</v>
      </c>
      <c r="D31" s="12">
        <v>0.39800000000000002</v>
      </c>
      <c r="E31" s="14"/>
      <c r="F31" s="14"/>
      <c r="H31" s="15"/>
      <c r="I31" s="15"/>
      <c r="J31" s="13">
        <v>13</v>
      </c>
      <c r="K31" s="12">
        <v>0.53300000000000003</v>
      </c>
      <c r="L31" s="14"/>
      <c r="M31" s="14"/>
      <c r="O31" s="15"/>
      <c r="P31" s="15"/>
      <c r="Q31" s="13">
        <v>13</v>
      </c>
      <c r="R31" s="12">
        <v>0</v>
      </c>
      <c r="S31" s="14"/>
      <c r="T31" s="14"/>
    </row>
    <row r="32" spans="1:20" ht="15" customHeight="1" x14ac:dyDescent="0.3">
      <c r="A32" s="15"/>
      <c r="B32" s="15"/>
      <c r="C32" s="13">
        <v>14</v>
      </c>
      <c r="D32" s="12">
        <v>0.52100000000000002</v>
      </c>
      <c r="E32" s="14"/>
      <c r="F32" s="14"/>
      <c r="H32" s="15"/>
      <c r="I32" s="15"/>
      <c r="J32" s="13">
        <v>14</v>
      </c>
      <c r="K32" s="12">
        <v>0.41199999999999998</v>
      </c>
      <c r="L32" s="14"/>
      <c r="M32" s="14"/>
      <c r="O32" s="15"/>
      <c r="P32" s="15"/>
      <c r="Q32" s="13">
        <v>14</v>
      </c>
      <c r="R32" s="12">
        <v>0</v>
      </c>
      <c r="S32" s="14"/>
      <c r="T32" s="14"/>
    </row>
    <row r="33" spans="1:20" ht="15" customHeight="1" x14ac:dyDescent="0.3">
      <c r="A33" s="15"/>
      <c r="B33" s="15"/>
      <c r="C33" s="13">
        <v>15</v>
      </c>
      <c r="D33" s="12">
        <v>0.505</v>
      </c>
      <c r="E33" s="14"/>
      <c r="F33" s="14"/>
      <c r="H33" s="15"/>
      <c r="I33" s="15"/>
      <c r="J33" s="13">
        <v>15</v>
      </c>
      <c r="K33" s="12">
        <v>0.26200000000000001</v>
      </c>
      <c r="L33" s="14"/>
      <c r="M33" s="14"/>
      <c r="O33" s="15"/>
      <c r="P33" s="15"/>
      <c r="Q33" s="13">
        <v>15</v>
      </c>
      <c r="R33" s="12">
        <v>0</v>
      </c>
      <c r="S33" s="14"/>
      <c r="T33" s="14"/>
    </row>
  </sheetData>
  <mergeCells count="24">
    <mergeCell ref="T19:T33"/>
    <mergeCell ref="A19:A33"/>
    <mergeCell ref="B19:B33"/>
    <mergeCell ref="E19:E33"/>
    <mergeCell ref="F19:F33"/>
    <mergeCell ref="H19:H33"/>
    <mergeCell ref="I19:I33"/>
    <mergeCell ref="L19:L33"/>
    <mergeCell ref="M19:M33"/>
    <mergeCell ref="O19:O33"/>
    <mergeCell ref="P19:P33"/>
    <mergeCell ref="S19:S33"/>
    <mergeCell ref="T2:T16"/>
    <mergeCell ref="A2:A16"/>
    <mergeCell ref="B2:B16"/>
    <mergeCell ref="E2:E16"/>
    <mergeCell ref="F2:F16"/>
    <mergeCell ref="H2:H16"/>
    <mergeCell ref="I2:I16"/>
    <mergeCell ref="L2:L16"/>
    <mergeCell ref="M2:M16"/>
    <mergeCell ref="O2:O16"/>
    <mergeCell ref="P2:P16"/>
    <mergeCell ref="S2:S16"/>
  </mergeCells>
  <phoneticPr fontId="1" type="noConversion"/>
  <conditionalFormatting sqref="D2:D16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D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1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3D790-3F94-4211-9A20-D53A3FF65B9E}">
  <dimension ref="A1:T35"/>
  <sheetViews>
    <sheetView zoomScale="85" zoomScaleNormal="85" workbookViewId="0">
      <selection activeCell="P60" sqref="P60"/>
    </sheetView>
  </sheetViews>
  <sheetFormatPr defaultColWidth="10.75" defaultRowHeight="15" customHeight="1" x14ac:dyDescent="0.3"/>
  <cols>
    <col min="1" max="16384" width="10.75" style="10"/>
  </cols>
  <sheetData>
    <row r="1" spans="1:20" ht="15" customHeight="1" x14ac:dyDescent="0.3">
      <c r="A1" s="11" t="s">
        <v>62</v>
      </c>
      <c r="B1" s="11" t="s">
        <v>63</v>
      </c>
      <c r="C1" s="11" t="s">
        <v>64</v>
      </c>
      <c r="D1" s="11" t="s">
        <v>65</v>
      </c>
      <c r="E1" s="11" t="s">
        <v>66</v>
      </c>
      <c r="F1" s="11" t="s">
        <v>67</v>
      </c>
      <c r="H1" s="11" t="s">
        <v>62</v>
      </c>
      <c r="I1" s="11" t="s">
        <v>63</v>
      </c>
      <c r="J1" s="11" t="s">
        <v>64</v>
      </c>
      <c r="K1" s="11" t="s">
        <v>65</v>
      </c>
      <c r="L1" s="11" t="s">
        <v>66</v>
      </c>
      <c r="M1" s="11" t="s">
        <v>67</v>
      </c>
      <c r="O1" s="11" t="s">
        <v>62</v>
      </c>
      <c r="P1" s="11" t="s">
        <v>63</v>
      </c>
      <c r="Q1" s="11" t="s">
        <v>64</v>
      </c>
      <c r="R1" s="11" t="s">
        <v>65</v>
      </c>
      <c r="S1" s="11" t="s">
        <v>66</v>
      </c>
      <c r="T1" s="11" t="s">
        <v>67</v>
      </c>
    </row>
    <row r="2" spans="1:20" ht="15" customHeight="1" x14ac:dyDescent="0.3">
      <c r="A2" s="15">
        <v>4.5999999999999996</v>
      </c>
      <c r="B2" s="15">
        <v>2.4</v>
      </c>
      <c r="C2" s="13">
        <v>1</v>
      </c>
      <c r="D2" s="12">
        <v>3.1640000000000001</v>
      </c>
      <c r="E2" s="14">
        <f>AVERAGE(D2:D16)</f>
        <v>3.1696666666666657</v>
      </c>
      <c r="F2" s="14">
        <f>_xlfn.VAR.S(D2:D16)</f>
        <v>7.7328095238095237E-2</v>
      </c>
      <c r="H2" s="15">
        <v>3.8</v>
      </c>
      <c r="I2" s="15">
        <v>2.4</v>
      </c>
      <c r="J2" s="13">
        <v>1</v>
      </c>
      <c r="K2" s="12">
        <v>0.46400000000000002</v>
      </c>
      <c r="L2" s="14">
        <f>AVERAGE(K2:K16)</f>
        <v>0.48446666666666666</v>
      </c>
      <c r="M2" s="14">
        <f>_xlfn.VAR.S(K2:K16)</f>
        <v>3.3706952380952843E-3</v>
      </c>
      <c r="O2" s="15">
        <v>4.2</v>
      </c>
      <c r="P2" s="15">
        <v>1.6</v>
      </c>
      <c r="Q2" s="13">
        <v>1</v>
      </c>
      <c r="R2" s="12">
        <v>0.129</v>
      </c>
      <c r="S2" s="14">
        <f>AVERAGE(R2:R16)</f>
        <v>0.2394</v>
      </c>
      <c r="T2" s="14">
        <f>_xlfn.VAR.S(R2:R16)</f>
        <v>1.1436828571428566E-2</v>
      </c>
    </row>
    <row r="3" spans="1:20" ht="15" customHeight="1" x14ac:dyDescent="0.3">
      <c r="A3" s="15"/>
      <c r="B3" s="15"/>
      <c r="C3" s="13">
        <v>2</v>
      </c>
      <c r="D3" s="12">
        <v>3.375</v>
      </c>
      <c r="E3" s="14"/>
      <c r="F3" s="14"/>
      <c r="H3" s="15"/>
      <c r="I3" s="15"/>
      <c r="J3" s="13">
        <v>2</v>
      </c>
      <c r="K3" s="12">
        <v>0.441</v>
      </c>
      <c r="L3" s="14"/>
      <c r="M3" s="14"/>
      <c r="O3" s="15"/>
      <c r="P3" s="15"/>
      <c r="Q3" s="13">
        <v>2</v>
      </c>
      <c r="R3" s="12">
        <v>0.29099999999999998</v>
      </c>
      <c r="S3" s="14"/>
      <c r="T3" s="14"/>
    </row>
    <row r="4" spans="1:20" ht="15" customHeight="1" x14ac:dyDescent="0.3">
      <c r="A4" s="15"/>
      <c r="B4" s="15"/>
      <c r="C4" s="13">
        <v>3</v>
      </c>
      <c r="D4" s="12">
        <v>3.0430000000000001</v>
      </c>
      <c r="E4" s="14"/>
      <c r="F4" s="14"/>
      <c r="H4" s="15"/>
      <c r="I4" s="15"/>
      <c r="J4" s="13">
        <v>3</v>
      </c>
      <c r="K4" s="12">
        <v>0.59699999999999998</v>
      </c>
      <c r="L4" s="14"/>
      <c r="M4" s="14"/>
      <c r="O4" s="15"/>
      <c r="P4" s="15"/>
      <c r="Q4" s="13">
        <v>3</v>
      </c>
      <c r="R4" s="12">
        <v>0.10299999999999999</v>
      </c>
      <c r="S4" s="14"/>
      <c r="T4" s="14"/>
    </row>
    <row r="5" spans="1:20" ht="15" customHeight="1" x14ac:dyDescent="0.3">
      <c r="A5" s="15"/>
      <c r="B5" s="15"/>
      <c r="C5" s="13">
        <v>4</v>
      </c>
      <c r="D5" s="12">
        <v>3.5619999999999998</v>
      </c>
      <c r="E5" s="14"/>
      <c r="F5" s="14"/>
      <c r="H5" s="15"/>
      <c r="I5" s="15"/>
      <c r="J5" s="13">
        <v>4</v>
      </c>
      <c r="K5" s="12">
        <v>0.38900000000000001</v>
      </c>
      <c r="L5" s="14"/>
      <c r="M5" s="14"/>
      <c r="O5" s="15"/>
      <c r="P5" s="15"/>
      <c r="Q5" s="13">
        <v>4</v>
      </c>
      <c r="R5" s="12">
        <v>5.3999999999999999E-2</v>
      </c>
      <c r="S5" s="14"/>
      <c r="T5" s="14"/>
    </row>
    <row r="6" spans="1:20" ht="15" customHeight="1" x14ac:dyDescent="0.3">
      <c r="A6" s="15"/>
      <c r="B6" s="15"/>
      <c r="C6" s="13">
        <v>5</v>
      </c>
      <c r="D6" s="12">
        <v>3.5760000000000001</v>
      </c>
      <c r="E6" s="14"/>
      <c r="F6" s="14"/>
      <c r="H6" s="15"/>
      <c r="I6" s="15"/>
      <c r="J6" s="13">
        <v>5</v>
      </c>
      <c r="K6" s="12">
        <v>0.56699999999999995</v>
      </c>
      <c r="L6" s="14"/>
      <c r="M6" s="14"/>
      <c r="O6" s="15"/>
      <c r="P6" s="15"/>
      <c r="Q6" s="13">
        <v>5</v>
      </c>
      <c r="R6" s="12">
        <v>0.40600000000000003</v>
      </c>
      <c r="S6" s="14"/>
      <c r="T6" s="14"/>
    </row>
    <row r="7" spans="1:20" ht="15" customHeight="1" x14ac:dyDescent="0.3">
      <c r="A7" s="15"/>
      <c r="B7" s="15"/>
      <c r="C7" s="13">
        <v>6</v>
      </c>
      <c r="D7" s="12">
        <v>2.9489999999999998</v>
      </c>
      <c r="E7" s="14"/>
      <c r="F7" s="14"/>
      <c r="H7" s="15"/>
      <c r="I7" s="15"/>
      <c r="J7" s="13">
        <v>6</v>
      </c>
      <c r="K7" s="12">
        <v>0.43</v>
      </c>
      <c r="L7" s="14"/>
      <c r="M7" s="14"/>
      <c r="O7" s="15"/>
      <c r="P7" s="15"/>
      <c r="Q7" s="13">
        <v>6</v>
      </c>
      <c r="R7" s="12">
        <v>0.39800000000000002</v>
      </c>
      <c r="S7" s="14"/>
      <c r="T7" s="14"/>
    </row>
    <row r="8" spans="1:20" ht="15" customHeight="1" x14ac:dyDescent="0.3">
      <c r="A8" s="15"/>
      <c r="B8" s="15"/>
      <c r="C8" s="13">
        <v>7</v>
      </c>
      <c r="D8" s="12">
        <v>2.97</v>
      </c>
      <c r="E8" s="14"/>
      <c r="F8" s="14"/>
      <c r="H8" s="15"/>
      <c r="I8" s="15"/>
      <c r="J8" s="13">
        <v>7</v>
      </c>
      <c r="K8" s="12">
        <v>0.42299999999999999</v>
      </c>
      <c r="L8" s="14"/>
      <c r="M8" s="14"/>
      <c r="O8" s="15"/>
      <c r="P8" s="15"/>
      <c r="Q8" s="13">
        <v>7</v>
      </c>
      <c r="R8" s="12">
        <v>0.25800000000000001</v>
      </c>
      <c r="S8" s="14"/>
      <c r="T8" s="14"/>
    </row>
    <row r="9" spans="1:20" ht="15" customHeight="1" x14ac:dyDescent="0.3">
      <c r="A9" s="15"/>
      <c r="B9" s="15"/>
      <c r="C9" s="13">
        <v>8</v>
      </c>
      <c r="D9" s="12">
        <v>3.4550000000000001</v>
      </c>
      <c r="E9" s="14"/>
      <c r="F9" s="14"/>
      <c r="H9" s="15"/>
      <c r="I9" s="15"/>
      <c r="J9" s="13">
        <v>8</v>
      </c>
      <c r="K9" s="12">
        <v>0.52100000000000002</v>
      </c>
      <c r="L9" s="14"/>
      <c r="M9" s="14"/>
      <c r="O9" s="15"/>
      <c r="P9" s="15"/>
      <c r="Q9" s="13">
        <v>8</v>
      </c>
      <c r="R9" s="12">
        <v>0.38</v>
      </c>
      <c r="S9" s="14"/>
      <c r="T9" s="14"/>
    </row>
    <row r="10" spans="1:20" ht="15" customHeight="1" x14ac:dyDescent="0.3">
      <c r="A10" s="15"/>
      <c r="B10" s="15"/>
      <c r="C10" s="13">
        <v>9</v>
      </c>
      <c r="D10" s="12">
        <v>3.254</v>
      </c>
      <c r="E10" s="14"/>
      <c r="F10" s="14"/>
      <c r="H10" s="15"/>
      <c r="I10" s="15"/>
      <c r="J10" s="13">
        <v>9</v>
      </c>
      <c r="K10" s="12">
        <v>0.48299999999999998</v>
      </c>
      <c r="L10" s="14"/>
      <c r="M10" s="14"/>
      <c r="O10" s="15"/>
      <c r="P10" s="15"/>
      <c r="Q10" s="13">
        <v>9</v>
      </c>
      <c r="R10" s="12">
        <v>0.30399999999999999</v>
      </c>
      <c r="S10" s="14"/>
      <c r="T10" s="14"/>
    </row>
    <row r="11" spans="1:20" ht="15" customHeight="1" x14ac:dyDescent="0.3">
      <c r="A11" s="15"/>
      <c r="B11" s="15"/>
      <c r="C11" s="13">
        <v>10</v>
      </c>
      <c r="D11" s="12">
        <v>3.194</v>
      </c>
      <c r="E11" s="14"/>
      <c r="F11" s="14"/>
      <c r="H11" s="15"/>
      <c r="I11" s="15"/>
      <c r="J11" s="13">
        <v>10</v>
      </c>
      <c r="K11" s="12">
        <v>0.50700000000000001</v>
      </c>
      <c r="L11" s="14"/>
      <c r="M11" s="14"/>
      <c r="O11" s="15"/>
      <c r="P11" s="15"/>
      <c r="Q11" s="13">
        <v>10</v>
      </c>
      <c r="R11" s="12">
        <v>0.16600000000000001</v>
      </c>
      <c r="S11" s="14"/>
      <c r="T11" s="14"/>
    </row>
    <row r="12" spans="1:20" ht="15" customHeight="1" x14ac:dyDescent="0.3">
      <c r="A12" s="15"/>
      <c r="B12" s="15"/>
      <c r="C12" s="13">
        <v>11</v>
      </c>
      <c r="D12" s="12">
        <v>3.0430000000000001</v>
      </c>
      <c r="E12" s="14"/>
      <c r="F12" s="14"/>
      <c r="H12" s="15"/>
      <c r="I12" s="15"/>
      <c r="J12" s="13">
        <v>11</v>
      </c>
      <c r="K12" s="12">
        <v>0.48399999999999999</v>
      </c>
      <c r="L12" s="14"/>
      <c r="M12" s="14"/>
      <c r="O12" s="15"/>
      <c r="P12" s="15"/>
      <c r="Q12" s="13">
        <v>11</v>
      </c>
      <c r="R12" s="12">
        <v>0.214</v>
      </c>
      <c r="S12" s="14"/>
      <c r="T12" s="14"/>
    </row>
    <row r="13" spans="1:20" ht="15" customHeight="1" x14ac:dyDescent="0.3">
      <c r="A13" s="15"/>
      <c r="B13" s="15"/>
      <c r="C13" s="13">
        <v>12</v>
      </c>
      <c r="D13" s="12">
        <v>2.61</v>
      </c>
      <c r="E13" s="14"/>
      <c r="F13" s="14"/>
      <c r="H13" s="15"/>
      <c r="I13" s="15"/>
      <c r="J13" s="13">
        <v>12</v>
      </c>
      <c r="K13" s="12">
        <v>0.48299999999999998</v>
      </c>
      <c r="L13" s="14"/>
      <c r="M13" s="14"/>
      <c r="O13" s="15"/>
      <c r="P13" s="15"/>
      <c r="Q13" s="13">
        <v>12</v>
      </c>
      <c r="R13" s="12">
        <v>0.23</v>
      </c>
      <c r="S13" s="14"/>
      <c r="T13" s="14"/>
    </row>
    <row r="14" spans="1:20" ht="15" customHeight="1" x14ac:dyDescent="0.3">
      <c r="A14" s="15"/>
      <c r="B14" s="15"/>
      <c r="C14" s="13">
        <v>13</v>
      </c>
      <c r="D14" s="12">
        <v>3.0430000000000001</v>
      </c>
      <c r="E14" s="14"/>
      <c r="F14" s="14"/>
      <c r="H14" s="15"/>
      <c r="I14" s="15"/>
      <c r="J14" s="13">
        <v>13</v>
      </c>
      <c r="K14" s="12">
        <v>0.56200000000000006</v>
      </c>
      <c r="L14" s="14"/>
      <c r="M14" s="14"/>
      <c r="O14" s="15"/>
      <c r="P14" s="15"/>
      <c r="Q14" s="13">
        <v>13</v>
      </c>
      <c r="R14" s="12">
        <v>0.28899999999999998</v>
      </c>
      <c r="S14" s="14"/>
      <c r="T14" s="14"/>
    </row>
    <row r="15" spans="1:20" ht="15" customHeight="1" x14ac:dyDescent="0.3">
      <c r="A15" s="15"/>
      <c r="B15" s="15"/>
      <c r="C15" s="13">
        <v>14</v>
      </c>
      <c r="D15" s="12">
        <v>2.8519999999999999</v>
      </c>
      <c r="E15" s="14"/>
      <c r="F15" s="14"/>
      <c r="H15" s="15"/>
      <c r="I15" s="15"/>
      <c r="J15" s="13">
        <v>14</v>
      </c>
      <c r="K15" s="12">
        <v>0.47</v>
      </c>
      <c r="L15" s="14"/>
      <c r="M15" s="14"/>
      <c r="O15" s="15"/>
      <c r="P15" s="15"/>
      <c r="Q15" s="13">
        <v>14</v>
      </c>
      <c r="R15" s="12">
        <v>0.2</v>
      </c>
      <c r="S15" s="14"/>
      <c r="T15" s="14"/>
    </row>
    <row r="16" spans="1:20" ht="15" customHeight="1" x14ac:dyDescent="0.3">
      <c r="A16" s="15"/>
      <c r="B16" s="15"/>
      <c r="C16" s="13">
        <v>15</v>
      </c>
      <c r="D16" s="12">
        <v>3.4550000000000001</v>
      </c>
      <c r="E16" s="14"/>
      <c r="F16" s="14"/>
      <c r="H16" s="15"/>
      <c r="I16" s="15"/>
      <c r="J16" s="13">
        <v>15</v>
      </c>
      <c r="K16" s="12">
        <v>0.44600000000000001</v>
      </c>
      <c r="L16" s="14"/>
      <c r="M16" s="14"/>
      <c r="O16" s="15"/>
      <c r="P16" s="15"/>
      <c r="Q16" s="13">
        <v>15</v>
      </c>
      <c r="R16" s="12">
        <v>0.16900000000000001</v>
      </c>
      <c r="S16" s="14"/>
      <c r="T16" s="14"/>
    </row>
    <row r="18" spans="1:20" ht="15" customHeight="1" x14ac:dyDescent="0.3">
      <c r="A18" s="11" t="s">
        <v>62</v>
      </c>
      <c r="B18" s="11" t="s">
        <v>63</v>
      </c>
      <c r="C18" s="11" t="s">
        <v>64</v>
      </c>
      <c r="D18" s="11" t="s">
        <v>65</v>
      </c>
      <c r="E18" s="11" t="s">
        <v>66</v>
      </c>
      <c r="F18" s="11" t="s">
        <v>67</v>
      </c>
      <c r="H18" s="11" t="s">
        <v>62</v>
      </c>
      <c r="I18" s="11" t="s">
        <v>63</v>
      </c>
      <c r="J18" s="11" t="s">
        <v>64</v>
      </c>
      <c r="K18" s="11" t="s">
        <v>65</v>
      </c>
      <c r="L18" s="11" t="s">
        <v>66</v>
      </c>
      <c r="M18" s="11" t="s">
        <v>67</v>
      </c>
      <c r="O18" s="11" t="s">
        <v>62</v>
      </c>
      <c r="P18" s="11" t="s">
        <v>63</v>
      </c>
      <c r="Q18" s="11" t="s">
        <v>64</v>
      </c>
      <c r="R18" s="11" t="s">
        <v>65</v>
      </c>
      <c r="S18" s="11" t="s">
        <v>66</v>
      </c>
      <c r="T18" s="11" t="s">
        <v>67</v>
      </c>
    </row>
    <row r="19" spans="1:20" ht="15" customHeight="1" x14ac:dyDescent="0.3">
      <c r="A19" s="15">
        <v>3.8</v>
      </c>
      <c r="B19" s="15">
        <v>3.2</v>
      </c>
      <c r="C19" s="13">
        <v>1</v>
      </c>
      <c r="D19" s="12">
        <v>0.29399999999999998</v>
      </c>
      <c r="E19" s="14">
        <f>AVERAGE(D19:D33)</f>
        <v>0.34453333333333336</v>
      </c>
      <c r="F19" s="14">
        <f>_xlfn.VAR.S(D19:D33)</f>
        <v>2.8597552380952376E-2</v>
      </c>
      <c r="H19" s="15">
        <v>5.4</v>
      </c>
      <c r="I19" s="15">
        <v>2.8</v>
      </c>
      <c r="J19" s="13">
        <v>1</v>
      </c>
      <c r="K19" s="12">
        <v>0</v>
      </c>
      <c r="L19" s="14">
        <f>AVERAGE(K19:K33)</f>
        <v>0</v>
      </c>
      <c r="M19" s="14">
        <f>_xlfn.VAR.S(K19:K33)</f>
        <v>0</v>
      </c>
      <c r="O19" s="15">
        <v>5</v>
      </c>
      <c r="P19" s="15">
        <v>1.2</v>
      </c>
      <c r="Q19" s="13">
        <v>1</v>
      </c>
      <c r="R19" s="12">
        <v>0</v>
      </c>
      <c r="S19" s="14">
        <f>AVERAGE(R19:R33)</f>
        <v>1.66E-2</v>
      </c>
      <c r="T19" s="14">
        <f>_xlfn.VAR.S(R19:R33)</f>
        <v>1.4358285714285714E-3</v>
      </c>
    </row>
    <row r="20" spans="1:20" ht="15" customHeight="1" x14ac:dyDescent="0.3">
      <c r="A20" s="15"/>
      <c r="B20" s="15"/>
      <c r="C20" s="13">
        <v>2</v>
      </c>
      <c r="D20" s="12">
        <v>0.24399999999999999</v>
      </c>
      <c r="E20" s="14"/>
      <c r="F20" s="14"/>
      <c r="H20" s="15"/>
      <c r="I20" s="15"/>
      <c r="J20" s="13">
        <v>2</v>
      </c>
      <c r="K20" s="12">
        <v>0</v>
      </c>
      <c r="L20" s="14"/>
      <c r="M20" s="14"/>
      <c r="O20" s="15"/>
      <c r="P20" s="15"/>
      <c r="Q20" s="13">
        <v>2</v>
      </c>
      <c r="R20" s="12">
        <v>0</v>
      </c>
      <c r="S20" s="14"/>
      <c r="T20" s="14"/>
    </row>
    <row r="21" spans="1:20" ht="15" customHeight="1" x14ac:dyDescent="0.3">
      <c r="A21" s="15"/>
      <c r="B21" s="15"/>
      <c r="C21" s="13">
        <v>3</v>
      </c>
      <c r="D21" s="12">
        <v>0.157</v>
      </c>
      <c r="E21" s="14"/>
      <c r="F21" s="14"/>
      <c r="H21" s="15"/>
      <c r="I21" s="15"/>
      <c r="J21" s="13">
        <v>3</v>
      </c>
      <c r="K21" s="12">
        <v>0</v>
      </c>
      <c r="L21" s="14"/>
      <c r="M21" s="14"/>
      <c r="O21" s="15"/>
      <c r="P21" s="15"/>
      <c r="Q21" s="13">
        <v>3</v>
      </c>
      <c r="R21" s="12">
        <v>4.0000000000000001E-3</v>
      </c>
      <c r="S21" s="14"/>
      <c r="T21" s="14"/>
    </row>
    <row r="22" spans="1:20" ht="15" customHeight="1" x14ac:dyDescent="0.3">
      <c r="A22" s="15"/>
      <c r="B22" s="15"/>
      <c r="C22" s="13">
        <v>4</v>
      </c>
      <c r="D22" s="12">
        <v>0.23300000000000001</v>
      </c>
      <c r="E22" s="14"/>
      <c r="F22" s="14"/>
      <c r="H22" s="15"/>
      <c r="I22" s="15"/>
      <c r="J22" s="13">
        <v>4</v>
      </c>
      <c r="K22" s="12">
        <v>0</v>
      </c>
      <c r="L22" s="14"/>
      <c r="M22" s="14"/>
      <c r="O22" s="15"/>
      <c r="P22" s="15"/>
      <c r="Q22" s="13">
        <v>4</v>
      </c>
      <c r="R22" s="12">
        <v>0</v>
      </c>
      <c r="S22" s="14"/>
      <c r="T22" s="14"/>
    </row>
    <row r="23" spans="1:20" ht="15" customHeight="1" x14ac:dyDescent="0.3">
      <c r="A23" s="15"/>
      <c r="B23" s="15"/>
      <c r="C23" s="13">
        <v>5</v>
      </c>
      <c r="D23" s="12">
        <v>0.255</v>
      </c>
      <c r="E23" s="14"/>
      <c r="F23" s="14"/>
      <c r="H23" s="15"/>
      <c r="I23" s="15"/>
      <c r="J23" s="13">
        <v>5</v>
      </c>
      <c r="K23" s="12">
        <v>0</v>
      </c>
      <c r="L23" s="14"/>
      <c r="M23" s="14"/>
      <c r="O23" s="15"/>
      <c r="P23" s="15"/>
      <c r="Q23" s="13">
        <v>5</v>
      </c>
      <c r="R23" s="12">
        <v>0</v>
      </c>
      <c r="S23" s="14"/>
      <c r="T23" s="14"/>
    </row>
    <row r="24" spans="1:20" ht="15" customHeight="1" x14ac:dyDescent="0.3">
      <c r="A24" s="15"/>
      <c r="B24" s="15"/>
      <c r="C24" s="13">
        <v>6</v>
      </c>
      <c r="D24" s="12">
        <v>0.155</v>
      </c>
      <c r="E24" s="14"/>
      <c r="F24" s="14"/>
      <c r="H24" s="15"/>
      <c r="I24" s="15"/>
      <c r="J24" s="13">
        <v>6</v>
      </c>
      <c r="K24" s="12">
        <v>0</v>
      </c>
      <c r="L24" s="14"/>
      <c r="M24" s="14"/>
      <c r="O24" s="15"/>
      <c r="P24" s="15"/>
      <c r="Q24" s="13">
        <v>6</v>
      </c>
      <c r="R24" s="12">
        <v>2.9000000000000001E-2</v>
      </c>
      <c r="S24" s="14"/>
      <c r="T24" s="14"/>
    </row>
    <row r="25" spans="1:20" ht="15" customHeight="1" x14ac:dyDescent="0.3">
      <c r="A25" s="15"/>
      <c r="B25" s="15"/>
      <c r="C25" s="13">
        <v>7</v>
      </c>
      <c r="D25" s="12">
        <v>0.13200000000000001</v>
      </c>
      <c r="E25" s="14"/>
      <c r="F25" s="14"/>
      <c r="H25" s="15"/>
      <c r="I25" s="15"/>
      <c r="J25" s="13">
        <v>7</v>
      </c>
      <c r="K25" s="12">
        <v>0</v>
      </c>
      <c r="L25" s="14"/>
      <c r="M25" s="14"/>
      <c r="O25" s="15"/>
      <c r="P25" s="15"/>
      <c r="Q25" s="13">
        <v>7</v>
      </c>
      <c r="R25" s="12">
        <v>0.10299999999999999</v>
      </c>
      <c r="S25" s="14"/>
      <c r="T25" s="14"/>
    </row>
    <row r="26" spans="1:20" ht="15" customHeight="1" x14ac:dyDescent="0.3">
      <c r="A26" s="15"/>
      <c r="B26" s="15"/>
      <c r="C26" s="13">
        <v>8</v>
      </c>
      <c r="D26" s="12">
        <v>0.36799999999999999</v>
      </c>
      <c r="E26" s="14"/>
      <c r="F26" s="14"/>
      <c r="H26" s="15"/>
      <c r="I26" s="15"/>
      <c r="J26" s="13">
        <v>8</v>
      </c>
      <c r="K26" s="12">
        <v>0</v>
      </c>
      <c r="L26" s="14"/>
      <c r="M26" s="14"/>
      <c r="O26" s="15"/>
      <c r="P26" s="15"/>
      <c r="Q26" s="13">
        <v>8</v>
      </c>
      <c r="R26" s="12">
        <v>0</v>
      </c>
      <c r="S26" s="14"/>
      <c r="T26" s="14"/>
    </row>
    <row r="27" spans="1:20" ht="15" customHeight="1" x14ac:dyDescent="0.3">
      <c r="A27" s="15"/>
      <c r="B27" s="15"/>
      <c r="C27" s="13">
        <v>9</v>
      </c>
      <c r="D27" s="12">
        <v>0.26400000000000001</v>
      </c>
      <c r="E27" s="14"/>
      <c r="F27" s="14"/>
      <c r="H27" s="15"/>
      <c r="I27" s="15"/>
      <c r="J27" s="13">
        <v>9</v>
      </c>
      <c r="K27" s="12">
        <v>0</v>
      </c>
      <c r="L27" s="14"/>
      <c r="M27" s="14"/>
      <c r="O27" s="15"/>
      <c r="P27" s="15"/>
      <c r="Q27" s="13">
        <v>9</v>
      </c>
      <c r="R27" s="12">
        <v>0</v>
      </c>
      <c r="S27" s="14"/>
      <c r="T27" s="14"/>
    </row>
    <row r="28" spans="1:20" ht="15" customHeight="1" x14ac:dyDescent="0.3">
      <c r="A28" s="15"/>
      <c r="B28" s="15"/>
      <c r="C28" s="13">
        <v>10</v>
      </c>
      <c r="D28" s="12">
        <v>0.54100000000000004</v>
      </c>
      <c r="E28" s="14"/>
      <c r="F28" s="14"/>
      <c r="H28" s="15"/>
      <c r="I28" s="15"/>
      <c r="J28" s="13">
        <v>10</v>
      </c>
      <c r="K28" s="12">
        <v>0</v>
      </c>
      <c r="L28" s="14"/>
      <c r="M28" s="14"/>
      <c r="O28" s="15"/>
      <c r="P28" s="15"/>
      <c r="Q28" s="13">
        <v>10</v>
      </c>
      <c r="R28" s="12">
        <v>0</v>
      </c>
      <c r="S28" s="14"/>
      <c r="T28" s="14"/>
    </row>
    <row r="29" spans="1:20" ht="15" customHeight="1" x14ac:dyDescent="0.3">
      <c r="A29" s="15"/>
      <c r="B29" s="15"/>
      <c r="C29" s="13">
        <v>11</v>
      </c>
      <c r="D29" s="12">
        <v>0.54400000000000004</v>
      </c>
      <c r="E29" s="14"/>
      <c r="F29" s="14"/>
      <c r="H29" s="15"/>
      <c r="I29" s="15"/>
      <c r="J29" s="13">
        <v>11</v>
      </c>
      <c r="K29" s="12">
        <v>0</v>
      </c>
      <c r="L29" s="14"/>
      <c r="M29" s="14"/>
      <c r="O29" s="15"/>
      <c r="P29" s="15"/>
      <c r="Q29" s="13">
        <v>11</v>
      </c>
      <c r="R29" s="12">
        <v>0.113</v>
      </c>
      <c r="S29" s="14"/>
      <c r="T29" s="14"/>
    </row>
    <row r="30" spans="1:20" ht="15" customHeight="1" x14ac:dyDescent="0.3">
      <c r="A30" s="15"/>
      <c r="B30" s="15"/>
      <c r="C30" s="13">
        <v>12</v>
      </c>
      <c r="D30" s="12">
        <v>0.629</v>
      </c>
      <c r="E30" s="14"/>
      <c r="F30" s="14"/>
      <c r="H30" s="15"/>
      <c r="I30" s="15"/>
      <c r="J30" s="13">
        <v>12</v>
      </c>
      <c r="K30" s="12">
        <v>0</v>
      </c>
      <c r="L30" s="14"/>
      <c r="M30" s="14"/>
      <c r="O30" s="15"/>
      <c r="P30" s="15"/>
      <c r="Q30" s="13">
        <v>12</v>
      </c>
      <c r="R30" s="12">
        <v>0</v>
      </c>
      <c r="S30" s="14"/>
      <c r="T30" s="14"/>
    </row>
    <row r="31" spans="1:20" ht="15" customHeight="1" x14ac:dyDescent="0.3">
      <c r="A31" s="15"/>
      <c r="B31" s="15"/>
      <c r="C31" s="13">
        <v>13</v>
      </c>
      <c r="D31" s="12">
        <v>0.52200000000000002</v>
      </c>
      <c r="E31" s="14"/>
      <c r="F31" s="14"/>
      <c r="H31" s="15"/>
      <c r="I31" s="15"/>
      <c r="J31" s="13">
        <v>13</v>
      </c>
      <c r="K31" s="12">
        <v>0</v>
      </c>
      <c r="L31" s="14"/>
      <c r="M31" s="14"/>
      <c r="O31" s="15"/>
      <c r="P31" s="15"/>
      <c r="Q31" s="13">
        <v>13</v>
      </c>
      <c r="R31" s="12">
        <v>0</v>
      </c>
      <c r="S31" s="14"/>
      <c r="T31" s="14"/>
    </row>
    <row r="32" spans="1:20" ht="15" customHeight="1" x14ac:dyDescent="0.3">
      <c r="A32" s="15"/>
      <c r="B32" s="15"/>
      <c r="C32" s="13">
        <v>14</v>
      </c>
      <c r="D32" s="12">
        <v>0.26800000000000002</v>
      </c>
      <c r="E32" s="14"/>
      <c r="F32" s="14"/>
      <c r="H32" s="15"/>
      <c r="I32" s="15"/>
      <c r="J32" s="13">
        <v>14</v>
      </c>
      <c r="K32" s="12">
        <v>0</v>
      </c>
      <c r="L32" s="14"/>
      <c r="M32" s="14"/>
      <c r="O32" s="15"/>
      <c r="P32" s="15"/>
      <c r="Q32" s="13">
        <v>14</v>
      </c>
      <c r="R32" s="12">
        <v>0</v>
      </c>
      <c r="S32" s="14"/>
      <c r="T32" s="14"/>
    </row>
    <row r="33" spans="1:20" ht="15" customHeight="1" x14ac:dyDescent="0.3">
      <c r="A33" s="15"/>
      <c r="B33" s="15"/>
      <c r="C33" s="13">
        <v>15</v>
      </c>
      <c r="D33" s="12">
        <v>0.56200000000000006</v>
      </c>
      <c r="E33" s="14"/>
      <c r="F33" s="14"/>
      <c r="H33" s="15"/>
      <c r="I33" s="15"/>
      <c r="J33" s="13">
        <v>15</v>
      </c>
      <c r="K33" s="12">
        <v>0</v>
      </c>
      <c r="L33" s="14"/>
      <c r="M33" s="14"/>
      <c r="O33" s="15"/>
      <c r="P33" s="15"/>
      <c r="Q33" s="13">
        <v>15</v>
      </c>
      <c r="R33" s="12">
        <v>0</v>
      </c>
      <c r="S33" s="14"/>
      <c r="T33" s="14"/>
    </row>
    <row r="35" spans="1:20" ht="15" customHeight="1" x14ac:dyDescent="0.3">
      <c r="A35" s="11" t="s">
        <v>68</v>
      </c>
      <c r="B35" s="15" t="s">
        <v>69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</row>
  </sheetData>
  <mergeCells count="25">
    <mergeCell ref="L19:L33"/>
    <mergeCell ref="M19:M33"/>
    <mergeCell ref="B35:T35"/>
    <mergeCell ref="O19:O33"/>
    <mergeCell ref="P19:P33"/>
    <mergeCell ref="S19:S33"/>
    <mergeCell ref="T19:T33"/>
    <mergeCell ref="I19:I33"/>
    <mergeCell ref="A19:A33"/>
    <mergeCell ref="B19:B33"/>
    <mergeCell ref="E19:E33"/>
    <mergeCell ref="F19:F33"/>
    <mergeCell ref="H19:H33"/>
    <mergeCell ref="T2:T16"/>
    <mergeCell ref="A2:A16"/>
    <mergeCell ref="B2:B16"/>
    <mergeCell ref="E2:E16"/>
    <mergeCell ref="F2:F16"/>
    <mergeCell ref="H2:H16"/>
    <mergeCell ref="I2:I16"/>
    <mergeCell ref="L2:L16"/>
    <mergeCell ref="M2:M16"/>
    <mergeCell ref="O2:O16"/>
    <mergeCell ref="P2:P16"/>
    <mergeCell ref="S2:S16"/>
  </mergeCells>
  <phoneticPr fontId="1" type="noConversion"/>
  <conditionalFormatting sqref="D2:D16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D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1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3166E-9ABE-4AC9-8C9E-5E57A3EFC375}">
  <dimension ref="A1:T35"/>
  <sheetViews>
    <sheetView topLeftCell="B7" workbookViewId="0">
      <selection activeCell="K36" sqref="K36"/>
    </sheetView>
  </sheetViews>
  <sheetFormatPr defaultColWidth="10.75" defaultRowHeight="15" customHeight="1" x14ac:dyDescent="0.3"/>
  <cols>
    <col min="1" max="16384" width="10.75" style="10"/>
  </cols>
  <sheetData>
    <row r="1" spans="1:20" ht="15" customHeight="1" x14ac:dyDescent="0.3">
      <c r="A1" s="11" t="s">
        <v>62</v>
      </c>
      <c r="B1" s="11" t="s">
        <v>63</v>
      </c>
      <c r="C1" s="11" t="s">
        <v>64</v>
      </c>
      <c r="D1" s="11" t="s">
        <v>65</v>
      </c>
      <c r="E1" s="11" t="s">
        <v>66</v>
      </c>
      <c r="F1" s="11" t="s">
        <v>67</v>
      </c>
      <c r="H1" s="11" t="s">
        <v>62</v>
      </c>
      <c r="I1" s="11" t="s">
        <v>63</v>
      </c>
      <c r="J1" s="11" t="s">
        <v>64</v>
      </c>
      <c r="K1" s="11" t="s">
        <v>65</v>
      </c>
      <c r="L1" s="11" t="s">
        <v>66</v>
      </c>
      <c r="M1" s="11" t="s">
        <v>67</v>
      </c>
      <c r="O1" s="11" t="s">
        <v>62</v>
      </c>
      <c r="P1" s="11" t="s">
        <v>63</v>
      </c>
      <c r="Q1" s="11" t="s">
        <v>64</v>
      </c>
      <c r="R1" s="11" t="s">
        <v>65</v>
      </c>
      <c r="S1" s="11" t="s">
        <v>66</v>
      </c>
      <c r="T1" s="11" t="s">
        <v>67</v>
      </c>
    </row>
    <row r="2" spans="1:20" ht="15" customHeight="1" x14ac:dyDescent="0.3">
      <c r="A2" s="15">
        <v>4.5999999999999996</v>
      </c>
      <c r="B2" s="15">
        <v>2.4</v>
      </c>
      <c r="C2" s="13">
        <v>1</v>
      </c>
      <c r="D2" s="12">
        <v>1.8120000000000001</v>
      </c>
      <c r="E2" s="14">
        <f>AVERAGE(D2:D16)</f>
        <v>2.0395333333333334</v>
      </c>
      <c r="F2" s="14">
        <f>_xlfn.VAR.S(D2:D16)</f>
        <v>4.6390980952380749E-2</v>
      </c>
      <c r="H2" s="15">
        <v>3.8</v>
      </c>
      <c r="I2" s="15">
        <v>2.4</v>
      </c>
      <c r="J2" s="13">
        <v>1</v>
      </c>
      <c r="K2" s="12">
        <v>1.591</v>
      </c>
      <c r="L2" s="14">
        <f>AVERAGE(K2:K16)</f>
        <v>1.6121333333333334</v>
      </c>
      <c r="M2" s="14">
        <f>_xlfn.VAR.S(K2:K16)</f>
        <v>1.451526666666667E-2</v>
      </c>
      <c r="O2" s="15">
        <v>4.2</v>
      </c>
      <c r="P2" s="15">
        <v>1.6</v>
      </c>
      <c r="Q2" s="13">
        <v>1</v>
      </c>
      <c r="R2" s="12">
        <v>0</v>
      </c>
      <c r="S2" s="14">
        <f>AVERAGE(R2:R16)</f>
        <v>6.0133333333333337E-2</v>
      </c>
      <c r="T2" s="14">
        <f>_xlfn.VAR.S(R2:R16)</f>
        <v>4.2758380952380957E-3</v>
      </c>
    </row>
    <row r="3" spans="1:20" ht="15" customHeight="1" x14ac:dyDescent="0.3">
      <c r="A3" s="15"/>
      <c r="B3" s="15"/>
      <c r="C3" s="13">
        <v>2</v>
      </c>
      <c r="D3" s="12">
        <v>2.0070000000000001</v>
      </c>
      <c r="E3" s="14"/>
      <c r="F3" s="14"/>
      <c r="H3" s="15"/>
      <c r="I3" s="15"/>
      <c r="J3" s="13">
        <v>2</v>
      </c>
      <c r="K3" s="12">
        <v>1.4359999999999999</v>
      </c>
      <c r="L3" s="14"/>
      <c r="M3" s="14"/>
      <c r="O3" s="15"/>
      <c r="P3" s="15"/>
      <c r="Q3" s="13">
        <v>2</v>
      </c>
      <c r="R3" s="12">
        <v>0.11600000000000001</v>
      </c>
      <c r="S3" s="14"/>
      <c r="T3" s="14"/>
    </row>
    <row r="4" spans="1:20" ht="15" customHeight="1" x14ac:dyDescent="0.3">
      <c r="A4" s="15"/>
      <c r="B4" s="15"/>
      <c r="C4" s="13">
        <v>3</v>
      </c>
      <c r="D4" s="12">
        <v>2.339</v>
      </c>
      <c r="E4" s="14"/>
      <c r="F4" s="14"/>
      <c r="H4" s="15"/>
      <c r="I4" s="15"/>
      <c r="J4" s="13">
        <v>3</v>
      </c>
      <c r="K4" s="12">
        <v>1.542</v>
      </c>
      <c r="L4" s="14"/>
      <c r="M4" s="14"/>
      <c r="O4" s="15"/>
      <c r="P4" s="15"/>
      <c r="Q4" s="13">
        <v>3</v>
      </c>
      <c r="R4" s="12">
        <v>9.7000000000000003E-2</v>
      </c>
      <c r="S4" s="14"/>
      <c r="T4" s="14"/>
    </row>
    <row r="5" spans="1:20" ht="15" customHeight="1" x14ac:dyDescent="0.3">
      <c r="A5" s="15"/>
      <c r="B5" s="15"/>
      <c r="C5" s="13">
        <v>4</v>
      </c>
      <c r="D5" s="12">
        <v>2.0249999999999999</v>
      </c>
      <c r="E5" s="14"/>
      <c r="F5" s="14"/>
      <c r="H5" s="15"/>
      <c r="I5" s="15"/>
      <c r="J5" s="13">
        <v>4</v>
      </c>
      <c r="K5" s="12">
        <v>1.9690000000000001</v>
      </c>
      <c r="L5" s="14"/>
      <c r="M5" s="14"/>
      <c r="O5" s="15"/>
      <c r="P5" s="15"/>
      <c r="Q5" s="13">
        <v>4</v>
      </c>
      <c r="R5" s="12">
        <v>0</v>
      </c>
      <c r="S5" s="14"/>
      <c r="T5" s="14"/>
    </row>
    <row r="6" spans="1:20" ht="15" customHeight="1" x14ac:dyDescent="0.3">
      <c r="A6" s="15"/>
      <c r="B6" s="15"/>
      <c r="C6" s="13">
        <v>5</v>
      </c>
      <c r="D6" s="12">
        <v>2.2930000000000001</v>
      </c>
      <c r="E6" s="14"/>
      <c r="F6" s="14"/>
      <c r="H6" s="15"/>
      <c r="I6" s="15"/>
      <c r="J6" s="13">
        <v>5</v>
      </c>
      <c r="K6" s="12">
        <v>1.5820000000000001</v>
      </c>
      <c r="L6" s="14"/>
      <c r="M6" s="14"/>
      <c r="O6" s="15"/>
      <c r="P6" s="15"/>
      <c r="Q6" s="13">
        <v>5</v>
      </c>
      <c r="R6" s="12">
        <v>2.1000000000000001E-2</v>
      </c>
      <c r="S6" s="14"/>
      <c r="T6" s="14"/>
    </row>
    <row r="7" spans="1:20" ht="15" customHeight="1" x14ac:dyDescent="0.3">
      <c r="A7" s="15"/>
      <c r="B7" s="15"/>
      <c r="C7" s="13">
        <v>6</v>
      </c>
      <c r="D7" s="12">
        <v>2.08</v>
      </c>
      <c r="E7" s="14"/>
      <c r="F7" s="14"/>
      <c r="H7" s="15"/>
      <c r="I7" s="15"/>
      <c r="J7" s="13">
        <v>6</v>
      </c>
      <c r="K7" s="12">
        <v>1.675</v>
      </c>
      <c r="L7" s="14"/>
      <c r="M7" s="14"/>
      <c r="O7" s="15"/>
      <c r="P7" s="15"/>
      <c r="Q7" s="13">
        <v>6</v>
      </c>
      <c r="R7" s="12">
        <v>3.7999999999999999E-2</v>
      </c>
      <c r="S7" s="14"/>
      <c r="T7" s="14"/>
    </row>
    <row r="8" spans="1:20" ht="15" customHeight="1" x14ac:dyDescent="0.3">
      <c r="A8" s="15"/>
      <c r="B8" s="15"/>
      <c r="C8" s="13">
        <v>7</v>
      </c>
      <c r="D8" s="12">
        <v>1.7669999999999999</v>
      </c>
      <c r="E8" s="14"/>
      <c r="F8" s="14"/>
      <c r="H8" s="15"/>
      <c r="I8" s="15"/>
      <c r="J8" s="13">
        <v>7</v>
      </c>
      <c r="K8" s="12">
        <v>1.546</v>
      </c>
      <c r="L8" s="14"/>
      <c r="M8" s="14"/>
      <c r="O8" s="15"/>
      <c r="P8" s="15"/>
      <c r="Q8" s="13">
        <v>7</v>
      </c>
      <c r="R8" s="12">
        <v>0.14000000000000001</v>
      </c>
      <c r="S8" s="14"/>
      <c r="T8" s="14"/>
    </row>
    <row r="9" spans="1:20" ht="15" customHeight="1" x14ac:dyDescent="0.3">
      <c r="A9" s="15"/>
      <c r="B9" s="15"/>
      <c r="C9" s="13">
        <v>8</v>
      </c>
      <c r="D9" s="12">
        <v>2.2709999999999999</v>
      </c>
      <c r="E9" s="14"/>
      <c r="F9" s="14"/>
      <c r="H9" s="15"/>
      <c r="I9" s="15"/>
      <c r="J9" s="13">
        <v>8</v>
      </c>
      <c r="K9" s="12">
        <v>1.6830000000000001</v>
      </c>
      <c r="L9" s="14"/>
      <c r="M9" s="14"/>
      <c r="O9" s="15"/>
      <c r="P9" s="15"/>
      <c r="Q9" s="13">
        <v>8</v>
      </c>
      <c r="R9" s="12">
        <v>0.19500000000000001</v>
      </c>
      <c r="S9" s="14"/>
      <c r="T9" s="14"/>
    </row>
    <row r="10" spans="1:20" ht="15" customHeight="1" x14ac:dyDescent="0.3">
      <c r="A10" s="15"/>
      <c r="B10" s="15"/>
      <c r="C10" s="13">
        <v>9</v>
      </c>
      <c r="D10" s="12">
        <v>1.988</v>
      </c>
      <c r="E10" s="14"/>
      <c r="F10" s="14"/>
      <c r="H10" s="15"/>
      <c r="I10" s="15"/>
      <c r="J10" s="13">
        <v>9</v>
      </c>
      <c r="K10" s="12">
        <v>1.63</v>
      </c>
      <c r="L10" s="14"/>
      <c r="M10" s="14"/>
      <c r="O10" s="15"/>
      <c r="P10" s="15"/>
      <c r="Q10" s="13">
        <v>9</v>
      </c>
      <c r="R10" s="12">
        <v>6.0000000000000001E-3</v>
      </c>
      <c r="S10" s="14"/>
      <c r="T10" s="14"/>
    </row>
    <row r="11" spans="1:20" ht="15" customHeight="1" x14ac:dyDescent="0.3">
      <c r="A11" s="15"/>
      <c r="B11" s="15"/>
      <c r="C11" s="13">
        <v>10</v>
      </c>
      <c r="D11" s="12">
        <v>2.4660000000000002</v>
      </c>
      <c r="E11" s="14"/>
      <c r="F11" s="14"/>
      <c r="H11" s="15"/>
      <c r="I11" s="15"/>
      <c r="J11" s="13">
        <v>10</v>
      </c>
      <c r="K11" s="12">
        <v>1.542</v>
      </c>
      <c r="L11" s="14"/>
      <c r="M11" s="14"/>
      <c r="O11" s="15"/>
      <c r="P11" s="15"/>
      <c r="Q11" s="13">
        <v>10</v>
      </c>
      <c r="R11" s="12">
        <v>4.7E-2</v>
      </c>
      <c r="S11" s="14"/>
      <c r="T11" s="14"/>
    </row>
    <row r="12" spans="1:20" ht="15" customHeight="1" x14ac:dyDescent="0.3">
      <c r="A12" s="15"/>
      <c r="B12" s="15"/>
      <c r="C12" s="13">
        <v>11</v>
      </c>
      <c r="D12" s="12">
        <v>2.0880000000000001</v>
      </c>
      <c r="E12" s="14"/>
      <c r="F12" s="14"/>
      <c r="H12" s="15"/>
      <c r="I12" s="15"/>
      <c r="J12" s="13">
        <v>11</v>
      </c>
      <c r="K12" s="12">
        <v>1.5740000000000001</v>
      </c>
      <c r="L12" s="14"/>
      <c r="M12" s="14"/>
      <c r="O12" s="15"/>
      <c r="P12" s="15"/>
      <c r="Q12" s="13">
        <v>11</v>
      </c>
      <c r="R12" s="12">
        <v>0</v>
      </c>
      <c r="S12" s="14"/>
      <c r="T12" s="14"/>
    </row>
    <row r="13" spans="1:20" ht="15" customHeight="1" x14ac:dyDescent="0.3">
      <c r="A13" s="15"/>
      <c r="B13" s="15"/>
      <c r="C13" s="13">
        <v>12</v>
      </c>
      <c r="D13" s="12">
        <v>1.823</v>
      </c>
      <c r="E13" s="14"/>
      <c r="F13" s="14"/>
      <c r="H13" s="15"/>
      <c r="I13" s="15"/>
      <c r="J13" s="13">
        <v>12</v>
      </c>
      <c r="K13" s="12">
        <v>1.526</v>
      </c>
      <c r="L13" s="14"/>
      <c r="M13" s="14"/>
      <c r="O13" s="15"/>
      <c r="P13" s="15"/>
      <c r="Q13" s="13">
        <v>12</v>
      </c>
      <c r="R13" s="12">
        <v>0</v>
      </c>
      <c r="S13" s="14"/>
      <c r="T13" s="14"/>
    </row>
    <row r="14" spans="1:20" ht="15" customHeight="1" x14ac:dyDescent="0.3">
      <c r="A14" s="15"/>
      <c r="B14" s="15"/>
      <c r="C14" s="13">
        <v>13</v>
      </c>
      <c r="D14" s="12">
        <v>1.857</v>
      </c>
      <c r="E14" s="14"/>
      <c r="F14" s="14"/>
      <c r="H14" s="15"/>
      <c r="I14" s="15"/>
      <c r="J14" s="13">
        <v>13</v>
      </c>
      <c r="K14" s="12">
        <v>1.6970000000000001</v>
      </c>
      <c r="L14" s="14"/>
      <c r="M14" s="14"/>
      <c r="O14" s="15"/>
      <c r="P14" s="15"/>
      <c r="Q14" s="13">
        <v>13</v>
      </c>
      <c r="R14" s="12">
        <v>0.111</v>
      </c>
      <c r="S14" s="14"/>
      <c r="T14" s="14"/>
    </row>
    <row r="15" spans="1:20" ht="15" customHeight="1" x14ac:dyDescent="0.3">
      <c r="A15" s="15"/>
      <c r="B15" s="15"/>
      <c r="C15" s="13">
        <v>14</v>
      </c>
      <c r="D15" s="12">
        <v>1.901</v>
      </c>
      <c r="E15" s="14"/>
      <c r="F15" s="14"/>
      <c r="H15" s="15"/>
      <c r="I15" s="15"/>
      <c r="J15" s="13">
        <v>14</v>
      </c>
      <c r="K15" s="12">
        <v>1.554</v>
      </c>
      <c r="L15" s="14"/>
      <c r="M15" s="14"/>
      <c r="O15" s="15"/>
      <c r="P15" s="15"/>
      <c r="Q15" s="13">
        <v>14</v>
      </c>
      <c r="R15" s="12">
        <v>0.13100000000000001</v>
      </c>
      <c r="S15" s="14"/>
      <c r="T15" s="14"/>
    </row>
    <row r="16" spans="1:20" ht="15" customHeight="1" x14ac:dyDescent="0.3">
      <c r="A16" s="15"/>
      <c r="B16" s="15"/>
      <c r="C16" s="13">
        <v>15</v>
      </c>
      <c r="D16" s="12">
        <v>1.8759999999999999</v>
      </c>
      <c r="E16" s="14"/>
      <c r="F16" s="14"/>
      <c r="H16" s="15"/>
      <c r="I16" s="15"/>
      <c r="J16" s="13">
        <v>15</v>
      </c>
      <c r="K16" s="12">
        <v>1.635</v>
      </c>
      <c r="L16" s="14"/>
      <c r="M16" s="14"/>
      <c r="O16" s="15"/>
      <c r="P16" s="15"/>
      <c r="Q16" s="13">
        <v>15</v>
      </c>
      <c r="R16" s="12">
        <v>0</v>
      </c>
      <c r="S16" s="14"/>
      <c r="T16" s="14"/>
    </row>
    <row r="18" spans="1:20" ht="15" customHeight="1" x14ac:dyDescent="0.3">
      <c r="A18" s="11" t="s">
        <v>62</v>
      </c>
      <c r="B18" s="11" t="s">
        <v>63</v>
      </c>
      <c r="C18" s="11" t="s">
        <v>64</v>
      </c>
      <c r="D18" s="11" t="s">
        <v>65</v>
      </c>
      <c r="E18" s="11" t="s">
        <v>66</v>
      </c>
      <c r="F18" s="11" t="s">
        <v>67</v>
      </c>
      <c r="H18" s="11" t="s">
        <v>62</v>
      </c>
      <c r="I18" s="11" t="s">
        <v>63</v>
      </c>
      <c r="J18" s="11" t="s">
        <v>64</v>
      </c>
      <c r="K18" s="11" t="s">
        <v>65</v>
      </c>
      <c r="L18" s="11" t="s">
        <v>66</v>
      </c>
      <c r="M18" s="11" t="s">
        <v>67</v>
      </c>
      <c r="O18" s="11" t="s">
        <v>62</v>
      </c>
      <c r="P18" s="11" t="s">
        <v>63</v>
      </c>
      <c r="Q18" s="11" t="s">
        <v>64</v>
      </c>
      <c r="R18" s="11" t="s">
        <v>65</v>
      </c>
      <c r="S18" s="11" t="s">
        <v>66</v>
      </c>
      <c r="T18" s="11" t="s">
        <v>67</v>
      </c>
    </row>
    <row r="19" spans="1:20" ht="15" customHeight="1" x14ac:dyDescent="0.3">
      <c r="A19" s="15">
        <v>3.8</v>
      </c>
      <c r="B19" s="15">
        <v>3.2</v>
      </c>
      <c r="C19" s="13">
        <v>1</v>
      </c>
      <c r="D19" s="12">
        <v>8.5999999999999993E-2</v>
      </c>
      <c r="E19" s="14">
        <f>AVERAGE(D19:D33)</f>
        <v>0.15033333333333332</v>
      </c>
      <c r="F19" s="14">
        <f>_xlfn.VAR.S(D19:D33)</f>
        <v>4.908380952380954E-3</v>
      </c>
      <c r="H19" s="15">
        <v>5.4</v>
      </c>
      <c r="I19" s="15">
        <v>2.8</v>
      </c>
      <c r="J19" s="13">
        <v>1</v>
      </c>
      <c r="K19" s="12">
        <v>0</v>
      </c>
      <c r="L19" s="14">
        <f>AVERAGE(K19:K33)</f>
        <v>0</v>
      </c>
      <c r="M19" s="14">
        <f>_xlfn.VAR.S(K19:K33)</f>
        <v>0</v>
      </c>
      <c r="O19" s="15">
        <v>5</v>
      </c>
      <c r="P19" s="15">
        <v>1.2</v>
      </c>
      <c r="Q19" s="13">
        <v>1</v>
      </c>
      <c r="R19" s="12">
        <v>0</v>
      </c>
      <c r="S19" s="14">
        <f>AVERAGE(R19:R33)</f>
        <v>0</v>
      </c>
      <c r="T19" s="14">
        <f>_xlfn.VAR.S(R19:R33)</f>
        <v>0</v>
      </c>
    </row>
    <row r="20" spans="1:20" ht="15" customHeight="1" x14ac:dyDescent="0.3">
      <c r="A20" s="15"/>
      <c r="B20" s="15"/>
      <c r="C20" s="13">
        <v>2</v>
      </c>
      <c r="D20" s="12">
        <v>0.109</v>
      </c>
      <c r="E20" s="14"/>
      <c r="F20" s="14"/>
      <c r="H20" s="15"/>
      <c r="I20" s="15"/>
      <c r="J20" s="13">
        <v>2</v>
      </c>
      <c r="K20" s="12">
        <v>0</v>
      </c>
      <c r="L20" s="14"/>
      <c r="M20" s="14"/>
      <c r="O20" s="15"/>
      <c r="P20" s="15"/>
      <c r="Q20" s="13">
        <v>2</v>
      </c>
      <c r="R20" s="12">
        <v>0</v>
      </c>
      <c r="S20" s="14"/>
      <c r="T20" s="14"/>
    </row>
    <row r="21" spans="1:20" ht="15" customHeight="1" x14ac:dyDescent="0.3">
      <c r="A21" s="15"/>
      <c r="B21" s="15"/>
      <c r="C21" s="13">
        <v>3</v>
      </c>
      <c r="D21" s="12">
        <v>3.7999999999999999E-2</v>
      </c>
      <c r="E21" s="14"/>
      <c r="F21" s="14"/>
      <c r="H21" s="15"/>
      <c r="I21" s="15"/>
      <c r="J21" s="13">
        <v>3</v>
      </c>
      <c r="K21" s="12">
        <v>0</v>
      </c>
      <c r="L21" s="14"/>
      <c r="M21" s="14"/>
      <c r="O21" s="15"/>
      <c r="P21" s="15"/>
      <c r="Q21" s="13">
        <v>3</v>
      </c>
      <c r="R21" s="12">
        <v>0</v>
      </c>
      <c r="S21" s="14"/>
      <c r="T21" s="14"/>
    </row>
    <row r="22" spans="1:20" ht="15" customHeight="1" x14ac:dyDescent="0.3">
      <c r="A22" s="15"/>
      <c r="B22" s="15"/>
      <c r="C22" s="13">
        <v>4</v>
      </c>
      <c r="D22" s="12">
        <v>0.184</v>
      </c>
      <c r="E22" s="14"/>
      <c r="F22" s="14"/>
      <c r="H22" s="15"/>
      <c r="I22" s="15"/>
      <c r="J22" s="13">
        <v>4</v>
      </c>
      <c r="K22" s="12">
        <v>0</v>
      </c>
      <c r="L22" s="14"/>
      <c r="M22" s="14"/>
      <c r="O22" s="15"/>
      <c r="P22" s="15"/>
      <c r="Q22" s="13">
        <v>4</v>
      </c>
      <c r="R22" s="12">
        <v>0</v>
      </c>
      <c r="S22" s="14"/>
      <c r="T22" s="14"/>
    </row>
    <row r="23" spans="1:20" ht="15" customHeight="1" x14ac:dyDescent="0.3">
      <c r="A23" s="15"/>
      <c r="B23" s="15"/>
      <c r="C23" s="13">
        <v>5</v>
      </c>
      <c r="D23" s="12">
        <v>0.22500000000000001</v>
      </c>
      <c r="E23" s="14"/>
      <c r="F23" s="14"/>
      <c r="H23" s="15"/>
      <c r="I23" s="15"/>
      <c r="J23" s="13">
        <v>5</v>
      </c>
      <c r="K23" s="12">
        <v>0</v>
      </c>
      <c r="L23" s="14"/>
      <c r="M23" s="14"/>
      <c r="O23" s="15"/>
      <c r="P23" s="15"/>
      <c r="Q23" s="13">
        <v>5</v>
      </c>
      <c r="R23" s="12">
        <v>0</v>
      </c>
      <c r="S23" s="14"/>
      <c r="T23" s="14"/>
    </row>
    <row r="24" spans="1:20" ht="15" customHeight="1" x14ac:dyDescent="0.3">
      <c r="A24" s="15"/>
      <c r="B24" s="15"/>
      <c r="C24" s="13">
        <v>6</v>
      </c>
      <c r="D24" s="12">
        <v>0.20899999999999999</v>
      </c>
      <c r="E24" s="14"/>
      <c r="F24" s="14"/>
      <c r="H24" s="15"/>
      <c r="I24" s="15"/>
      <c r="J24" s="13">
        <v>6</v>
      </c>
      <c r="K24" s="12">
        <v>0</v>
      </c>
      <c r="L24" s="14"/>
      <c r="M24" s="14"/>
      <c r="O24" s="15"/>
      <c r="P24" s="15"/>
      <c r="Q24" s="13">
        <v>6</v>
      </c>
      <c r="R24" s="12">
        <v>0</v>
      </c>
      <c r="S24" s="14"/>
      <c r="T24" s="14"/>
    </row>
    <row r="25" spans="1:20" ht="15" customHeight="1" x14ac:dyDescent="0.3">
      <c r="A25" s="15"/>
      <c r="B25" s="15"/>
      <c r="C25" s="13">
        <v>7</v>
      </c>
      <c r="D25" s="12">
        <v>0.16900000000000001</v>
      </c>
      <c r="E25" s="14"/>
      <c r="F25" s="14"/>
      <c r="H25" s="15"/>
      <c r="I25" s="15"/>
      <c r="J25" s="13">
        <v>7</v>
      </c>
      <c r="K25" s="12">
        <v>0</v>
      </c>
      <c r="L25" s="14"/>
      <c r="M25" s="14"/>
      <c r="O25" s="15"/>
      <c r="P25" s="15"/>
      <c r="Q25" s="13">
        <v>7</v>
      </c>
      <c r="R25" s="12">
        <v>0</v>
      </c>
      <c r="S25" s="14"/>
      <c r="T25" s="14"/>
    </row>
    <row r="26" spans="1:20" ht="15" customHeight="1" x14ac:dyDescent="0.3">
      <c r="A26" s="15"/>
      <c r="B26" s="15"/>
      <c r="C26" s="13">
        <v>8</v>
      </c>
      <c r="D26" s="12">
        <v>0.17399999999999999</v>
      </c>
      <c r="E26" s="14"/>
      <c r="F26" s="14"/>
      <c r="H26" s="15"/>
      <c r="I26" s="15"/>
      <c r="J26" s="13">
        <v>8</v>
      </c>
      <c r="K26" s="12">
        <v>0</v>
      </c>
      <c r="L26" s="14"/>
      <c r="M26" s="14"/>
      <c r="O26" s="15"/>
      <c r="P26" s="15"/>
      <c r="Q26" s="13">
        <v>8</v>
      </c>
      <c r="R26" s="12">
        <v>0</v>
      </c>
      <c r="S26" s="14"/>
      <c r="T26" s="14"/>
    </row>
    <row r="27" spans="1:20" ht="15" customHeight="1" x14ac:dyDescent="0.3">
      <c r="A27" s="15"/>
      <c r="B27" s="15"/>
      <c r="C27" s="13">
        <v>9</v>
      </c>
      <c r="D27" s="12">
        <v>0.248</v>
      </c>
      <c r="E27" s="14"/>
      <c r="F27" s="14"/>
      <c r="H27" s="15"/>
      <c r="I27" s="15"/>
      <c r="J27" s="13">
        <v>9</v>
      </c>
      <c r="K27" s="12">
        <v>0</v>
      </c>
      <c r="L27" s="14"/>
      <c r="M27" s="14"/>
      <c r="O27" s="15"/>
      <c r="P27" s="15"/>
      <c r="Q27" s="13">
        <v>9</v>
      </c>
      <c r="R27" s="12">
        <v>0</v>
      </c>
      <c r="S27" s="14"/>
      <c r="T27" s="14"/>
    </row>
    <row r="28" spans="1:20" ht="15" customHeight="1" x14ac:dyDescent="0.3">
      <c r="A28" s="15"/>
      <c r="B28" s="15"/>
      <c r="C28" s="13">
        <v>10</v>
      </c>
      <c r="D28" s="12">
        <v>0.183</v>
      </c>
      <c r="E28" s="14"/>
      <c r="F28" s="14"/>
      <c r="H28" s="15"/>
      <c r="I28" s="15"/>
      <c r="J28" s="13">
        <v>10</v>
      </c>
      <c r="K28" s="12">
        <v>0</v>
      </c>
      <c r="L28" s="14"/>
      <c r="M28" s="14"/>
      <c r="O28" s="15"/>
      <c r="P28" s="15"/>
      <c r="Q28" s="13">
        <v>10</v>
      </c>
      <c r="R28" s="12">
        <v>0</v>
      </c>
      <c r="S28" s="14"/>
      <c r="T28" s="14"/>
    </row>
    <row r="29" spans="1:20" ht="15" customHeight="1" x14ac:dyDescent="0.3">
      <c r="A29" s="15"/>
      <c r="B29" s="15"/>
      <c r="C29" s="13">
        <v>11</v>
      </c>
      <c r="D29" s="12">
        <v>0.14899999999999999</v>
      </c>
      <c r="E29" s="14"/>
      <c r="F29" s="14"/>
      <c r="H29" s="15"/>
      <c r="I29" s="15"/>
      <c r="J29" s="13">
        <v>11</v>
      </c>
      <c r="K29" s="12">
        <v>0</v>
      </c>
      <c r="L29" s="14"/>
      <c r="M29" s="14"/>
      <c r="O29" s="15"/>
      <c r="P29" s="15"/>
      <c r="Q29" s="13">
        <v>11</v>
      </c>
      <c r="R29" s="12">
        <v>0</v>
      </c>
      <c r="S29" s="14"/>
      <c r="T29" s="14"/>
    </row>
    <row r="30" spans="1:20" ht="15" customHeight="1" x14ac:dyDescent="0.3">
      <c r="A30" s="15"/>
      <c r="B30" s="15"/>
      <c r="C30" s="13">
        <v>12</v>
      </c>
      <c r="D30" s="12">
        <v>3.7999999999999999E-2</v>
      </c>
      <c r="E30" s="14"/>
      <c r="F30" s="14"/>
      <c r="H30" s="15"/>
      <c r="I30" s="15"/>
      <c r="J30" s="13">
        <v>12</v>
      </c>
      <c r="K30" s="12">
        <v>0</v>
      </c>
      <c r="L30" s="14"/>
      <c r="M30" s="14"/>
      <c r="O30" s="15"/>
      <c r="P30" s="15"/>
      <c r="Q30" s="13">
        <v>12</v>
      </c>
      <c r="R30" s="12">
        <v>0</v>
      </c>
      <c r="S30" s="14"/>
      <c r="T30" s="14"/>
    </row>
    <row r="31" spans="1:20" ht="15" customHeight="1" x14ac:dyDescent="0.3">
      <c r="A31" s="15"/>
      <c r="B31" s="15"/>
      <c r="C31" s="13">
        <v>13</v>
      </c>
      <c r="D31" s="12">
        <v>0.13400000000000001</v>
      </c>
      <c r="E31" s="14"/>
      <c r="F31" s="14"/>
      <c r="H31" s="15"/>
      <c r="I31" s="15"/>
      <c r="J31" s="13">
        <v>13</v>
      </c>
      <c r="K31" s="12">
        <v>0</v>
      </c>
      <c r="L31" s="14"/>
      <c r="M31" s="14"/>
      <c r="O31" s="15"/>
      <c r="P31" s="15"/>
      <c r="Q31" s="13">
        <v>13</v>
      </c>
      <c r="R31" s="12">
        <v>0</v>
      </c>
      <c r="S31" s="14"/>
      <c r="T31" s="14"/>
    </row>
    <row r="32" spans="1:20" ht="15" customHeight="1" x14ac:dyDescent="0.3">
      <c r="A32" s="15"/>
      <c r="B32" s="15"/>
      <c r="C32" s="13">
        <v>14</v>
      </c>
      <c r="D32" s="12">
        <v>0.24299999999999999</v>
      </c>
      <c r="E32" s="14"/>
      <c r="F32" s="14"/>
      <c r="H32" s="15"/>
      <c r="I32" s="15"/>
      <c r="J32" s="13">
        <v>14</v>
      </c>
      <c r="K32" s="12">
        <v>0</v>
      </c>
      <c r="L32" s="14"/>
      <c r="M32" s="14"/>
      <c r="O32" s="15"/>
      <c r="P32" s="15"/>
      <c r="Q32" s="13">
        <v>14</v>
      </c>
      <c r="R32" s="12">
        <v>0</v>
      </c>
      <c r="S32" s="14"/>
      <c r="T32" s="14"/>
    </row>
    <row r="33" spans="1:20" ht="15" customHeight="1" x14ac:dyDescent="0.3">
      <c r="A33" s="15"/>
      <c r="B33" s="15"/>
      <c r="C33" s="13">
        <v>15</v>
      </c>
      <c r="D33" s="12">
        <v>6.6000000000000003E-2</v>
      </c>
      <c r="E33" s="14"/>
      <c r="F33" s="14"/>
      <c r="H33" s="15"/>
      <c r="I33" s="15"/>
      <c r="J33" s="13">
        <v>15</v>
      </c>
      <c r="K33" s="12">
        <v>0</v>
      </c>
      <c r="L33" s="14"/>
      <c r="M33" s="14"/>
      <c r="O33" s="15"/>
      <c r="P33" s="15"/>
      <c r="Q33" s="13">
        <v>15</v>
      </c>
      <c r="R33" s="12">
        <v>0</v>
      </c>
      <c r="S33" s="14"/>
      <c r="T33" s="14"/>
    </row>
    <row r="35" spans="1:20" ht="15" customHeight="1" x14ac:dyDescent="0.3">
      <c r="A35" s="11" t="s">
        <v>68</v>
      </c>
      <c r="B35" s="15" t="s">
        <v>71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</row>
  </sheetData>
  <mergeCells count="25">
    <mergeCell ref="L19:L33"/>
    <mergeCell ref="M19:M33"/>
    <mergeCell ref="B35:T35"/>
    <mergeCell ref="O19:O33"/>
    <mergeCell ref="P19:P33"/>
    <mergeCell ref="S19:S33"/>
    <mergeCell ref="T19:T33"/>
    <mergeCell ref="I19:I33"/>
    <mergeCell ref="A19:A33"/>
    <mergeCell ref="B19:B33"/>
    <mergeCell ref="E19:E33"/>
    <mergeCell ref="F19:F33"/>
    <mergeCell ref="H19:H33"/>
    <mergeCell ref="T2:T16"/>
    <mergeCell ref="A2:A16"/>
    <mergeCell ref="B2:B16"/>
    <mergeCell ref="E2:E16"/>
    <mergeCell ref="F2:F16"/>
    <mergeCell ref="H2:H16"/>
    <mergeCell ref="I2:I16"/>
    <mergeCell ref="L2:L16"/>
    <mergeCell ref="M2:M16"/>
    <mergeCell ref="O2:O16"/>
    <mergeCell ref="P2:P16"/>
    <mergeCell ref="S2:S16"/>
  </mergeCells>
  <phoneticPr fontId="1" type="noConversion"/>
  <conditionalFormatting sqref="D2:D1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D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1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7A0D1-B69C-42AF-8A67-AB98A9FB7FF3}">
  <dimension ref="A1:T35"/>
  <sheetViews>
    <sheetView zoomScale="70" zoomScaleNormal="70" workbookViewId="0">
      <selection activeCell="H39" sqref="H39"/>
    </sheetView>
  </sheetViews>
  <sheetFormatPr defaultColWidth="10.75" defaultRowHeight="15" customHeight="1" x14ac:dyDescent="0.3"/>
  <cols>
    <col min="1" max="16384" width="10.75" style="10"/>
  </cols>
  <sheetData>
    <row r="1" spans="1:20" ht="15" customHeight="1" x14ac:dyDescent="0.3">
      <c r="A1" s="11" t="s">
        <v>62</v>
      </c>
      <c r="B1" s="11" t="s">
        <v>63</v>
      </c>
      <c r="C1" s="11" t="s">
        <v>64</v>
      </c>
      <c r="D1" s="11" t="s">
        <v>65</v>
      </c>
      <c r="E1" s="11" t="s">
        <v>66</v>
      </c>
      <c r="F1" s="11" t="s">
        <v>67</v>
      </c>
      <c r="H1" s="11" t="s">
        <v>62</v>
      </c>
      <c r="I1" s="11" t="s">
        <v>63</v>
      </c>
      <c r="J1" s="11" t="s">
        <v>64</v>
      </c>
      <c r="K1" s="11" t="s">
        <v>65</v>
      </c>
      <c r="L1" s="11" t="s">
        <v>66</v>
      </c>
      <c r="M1" s="11" t="s">
        <v>67</v>
      </c>
      <c r="O1" s="11" t="s">
        <v>62</v>
      </c>
      <c r="P1" s="11" t="s">
        <v>63</v>
      </c>
      <c r="Q1" s="11" t="s">
        <v>64</v>
      </c>
      <c r="R1" s="11" t="s">
        <v>65</v>
      </c>
      <c r="S1" s="11" t="s">
        <v>66</v>
      </c>
      <c r="T1" s="11" t="s">
        <v>67</v>
      </c>
    </row>
    <row r="2" spans="1:20" ht="15" customHeight="1" x14ac:dyDescent="0.3">
      <c r="A2" s="15">
        <v>4.5999999999999996</v>
      </c>
      <c r="B2" s="15">
        <v>2.4</v>
      </c>
      <c r="C2" s="13">
        <v>1</v>
      </c>
      <c r="D2" s="12"/>
      <c r="E2" s="14" t="e">
        <f>AVERAGE(D2:D16)</f>
        <v>#DIV/0!</v>
      </c>
      <c r="F2" s="14" t="e">
        <f>_xlfn.VAR.S(D2:D16)</f>
        <v>#DIV/0!</v>
      </c>
      <c r="H2" s="15">
        <v>3.8</v>
      </c>
      <c r="I2" s="15">
        <v>2.4</v>
      </c>
      <c r="J2" s="13">
        <v>1</v>
      </c>
      <c r="K2" s="12"/>
      <c r="L2" s="14" t="e">
        <f>AVERAGE(K2:K16)</f>
        <v>#DIV/0!</v>
      </c>
      <c r="M2" s="14" t="e">
        <f>_xlfn.VAR.S(K2:K16)</f>
        <v>#DIV/0!</v>
      </c>
      <c r="O2" s="15">
        <v>4.2</v>
      </c>
      <c r="P2" s="15">
        <v>1.6</v>
      </c>
      <c r="Q2" s="13">
        <v>1</v>
      </c>
      <c r="R2" s="12"/>
      <c r="S2" s="14" t="e">
        <f>AVERAGE(R2:R16)</f>
        <v>#DIV/0!</v>
      </c>
      <c r="T2" s="14" t="e">
        <f>_xlfn.VAR.S(R2:R16)</f>
        <v>#DIV/0!</v>
      </c>
    </row>
    <row r="3" spans="1:20" ht="15" customHeight="1" x14ac:dyDescent="0.3">
      <c r="A3" s="15"/>
      <c r="B3" s="15"/>
      <c r="C3" s="13">
        <v>2</v>
      </c>
      <c r="D3" s="12"/>
      <c r="E3" s="14"/>
      <c r="F3" s="14"/>
      <c r="H3" s="15"/>
      <c r="I3" s="15"/>
      <c r="J3" s="13">
        <v>2</v>
      </c>
      <c r="K3" s="12"/>
      <c r="L3" s="14"/>
      <c r="M3" s="14"/>
      <c r="O3" s="15"/>
      <c r="P3" s="15"/>
      <c r="Q3" s="13">
        <v>2</v>
      </c>
      <c r="R3" s="12"/>
      <c r="S3" s="14"/>
      <c r="T3" s="14"/>
    </row>
    <row r="4" spans="1:20" ht="15" customHeight="1" x14ac:dyDescent="0.3">
      <c r="A4" s="15"/>
      <c r="B4" s="15"/>
      <c r="C4" s="13">
        <v>3</v>
      </c>
      <c r="D4" s="12"/>
      <c r="E4" s="14"/>
      <c r="F4" s="14"/>
      <c r="H4" s="15"/>
      <c r="I4" s="15"/>
      <c r="J4" s="13">
        <v>3</v>
      </c>
      <c r="K4" s="12"/>
      <c r="L4" s="14"/>
      <c r="M4" s="14"/>
      <c r="O4" s="15"/>
      <c r="P4" s="15"/>
      <c r="Q4" s="13">
        <v>3</v>
      </c>
      <c r="R4" s="12"/>
      <c r="S4" s="14"/>
      <c r="T4" s="14"/>
    </row>
    <row r="5" spans="1:20" ht="15" customHeight="1" x14ac:dyDescent="0.3">
      <c r="A5" s="15"/>
      <c r="B5" s="15"/>
      <c r="C5" s="13">
        <v>4</v>
      </c>
      <c r="D5" s="12"/>
      <c r="E5" s="14"/>
      <c r="F5" s="14"/>
      <c r="H5" s="15"/>
      <c r="I5" s="15"/>
      <c r="J5" s="13">
        <v>4</v>
      </c>
      <c r="K5" s="12"/>
      <c r="L5" s="14"/>
      <c r="M5" s="14"/>
      <c r="O5" s="15"/>
      <c r="P5" s="15"/>
      <c r="Q5" s="13">
        <v>4</v>
      </c>
      <c r="R5" s="12"/>
      <c r="S5" s="14"/>
      <c r="T5" s="14"/>
    </row>
    <row r="6" spans="1:20" ht="15" customHeight="1" x14ac:dyDescent="0.3">
      <c r="A6" s="15"/>
      <c r="B6" s="15"/>
      <c r="C6" s="13">
        <v>5</v>
      </c>
      <c r="D6" s="12"/>
      <c r="E6" s="14"/>
      <c r="F6" s="14"/>
      <c r="H6" s="15"/>
      <c r="I6" s="15"/>
      <c r="J6" s="13">
        <v>5</v>
      </c>
      <c r="K6" s="12"/>
      <c r="L6" s="14"/>
      <c r="M6" s="14"/>
      <c r="O6" s="15"/>
      <c r="P6" s="15"/>
      <c r="Q6" s="13">
        <v>5</v>
      </c>
      <c r="R6" s="12"/>
      <c r="S6" s="14"/>
      <c r="T6" s="14"/>
    </row>
    <row r="7" spans="1:20" ht="15" customHeight="1" x14ac:dyDescent="0.3">
      <c r="A7" s="15"/>
      <c r="B7" s="15"/>
      <c r="C7" s="13">
        <v>6</v>
      </c>
      <c r="D7" s="12"/>
      <c r="E7" s="14"/>
      <c r="F7" s="14"/>
      <c r="H7" s="15"/>
      <c r="I7" s="15"/>
      <c r="J7" s="13">
        <v>6</v>
      </c>
      <c r="K7" s="12"/>
      <c r="L7" s="14"/>
      <c r="M7" s="14"/>
      <c r="O7" s="15"/>
      <c r="P7" s="15"/>
      <c r="Q7" s="13">
        <v>6</v>
      </c>
      <c r="R7" s="12"/>
      <c r="S7" s="14"/>
      <c r="T7" s="14"/>
    </row>
    <row r="8" spans="1:20" ht="15" customHeight="1" x14ac:dyDescent="0.3">
      <c r="A8" s="15"/>
      <c r="B8" s="15"/>
      <c r="C8" s="13">
        <v>7</v>
      </c>
      <c r="D8" s="12"/>
      <c r="E8" s="14"/>
      <c r="F8" s="14"/>
      <c r="H8" s="15"/>
      <c r="I8" s="15"/>
      <c r="J8" s="13">
        <v>7</v>
      </c>
      <c r="K8" s="12"/>
      <c r="L8" s="14"/>
      <c r="M8" s="14"/>
      <c r="O8" s="15"/>
      <c r="P8" s="15"/>
      <c r="Q8" s="13">
        <v>7</v>
      </c>
      <c r="R8" s="12"/>
      <c r="S8" s="14"/>
      <c r="T8" s="14"/>
    </row>
    <row r="9" spans="1:20" ht="15" customHeight="1" x14ac:dyDescent="0.3">
      <c r="A9" s="15"/>
      <c r="B9" s="15"/>
      <c r="C9" s="13">
        <v>8</v>
      </c>
      <c r="D9" s="12"/>
      <c r="E9" s="14"/>
      <c r="F9" s="14"/>
      <c r="H9" s="15"/>
      <c r="I9" s="15"/>
      <c r="J9" s="13">
        <v>8</v>
      </c>
      <c r="K9" s="12"/>
      <c r="L9" s="14"/>
      <c r="M9" s="14"/>
      <c r="O9" s="15"/>
      <c r="P9" s="15"/>
      <c r="Q9" s="13">
        <v>8</v>
      </c>
      <c r="R9" s="12"/>
      <c r="S9" s="14"/>
      <c r="T9" s="14"/>
    </row>
    <row r="10" spans="1:20" ht="15" customHeight="1" x14ac:dyDescent="0.3">
      <c r="A10" s="15"/>
      <c r="B10" s="15"/>
      <c r="C10" s="13">
        <v>9</v>
      </c>
      <c r="D10" s="12"/>
      <c r="E10" s="14"/>
      <c r="F10" s="14"/>
      <c r="H10" s="15"/>
      <c r="I10" s="15"/>
      <c r="J10" s="13">
        <v>9</v>
      </c>
      <c r="K10" s="12"/>
      <c r="L10" s="14"/>
      <c r="M10" s="14"/>
      <c r="O10" s="15"/>
      <c r="P10" s="15"/>
      <c r="Q10" s="13">
        <v>9</v>
      </c>
      <c r="R10" s="12"/>
      <c r="S10" s="14"/>
      <c r="T10" s="14"/>
    </row>
    <row r="11" spans="1:20" ht="15" customHeight="1" x14ac:dyDescent="0.3">
      <c r="A11" s="15"/>
      <c r="B11" s="15"/>
      <c r="C11" s="13">
        <v>10</v>
      </c>
      <c r="D11" s="12"/>
      <c r="E11" s="14"/>
      <c r="F11" s="14"/>
      <c r="H11" s="15"/>
      <c r="I11" s="15"/>
      <c r="J11" s="13">
        <v>10</v>
      </c>
      <c r="K11" s="12"/>
      <c r="L11" s="14"/>
      <c r="M11" s="14"/>
      <c r="O11" s="15"/>
      <c r="P11" s="15"/>
      <c r="Q11" s="13">
        <v>10</v>
      </c>
      <c r="R11" s="12"/>
      <c r="S11" s="14"/>
      <c r="T11" s="14"/>
    </row>
    <row r="12" spans="1:20" ht="15" customHeight="1" x14ac:dyDescent="0.3">
      <c r="A12" s="15"/>
      <c r="B12" s="15"/>
      <c r="C12" s="13">
        <v>11</v>
      </c>
      <c r="D12" s="12"/>
      <c r="E12" s="14"/>
      <c r="F12" s="14"/>
      <c r="H12" s="15"/>
      <c r="I12" s="15"/>
      <c r="J12" s="13">
        <v>11</v>
      </c>
      <c r="K12" s="12"/>
      <c r="L12" s="14"/>
      <c r="M12" s="14"/>
      <c r="O12" s="15"/>
      <c r="P12" s="15"/>
      <c r="Q12" s="13">
        <v>11</v>
      </c>
      <c r="R12" s="12"/>
      <c r="S12" s="14"/>
      <c r="T12" s="14"/>
    </row>
    <row r="13" spans="1:20" ht="15" customHeight="1" x14ac:dyDescent="0.3">
      <c r="A13" s="15"/>
      <c r="B13" s="15"/>
      <c r="C13" s="13">
        <v>12</v>
      </c>
      <c r="D13" s="12"/>
      <c r="E13" s="14"/>
      <c r="F13" s="14"/>
      <c r="H13" s="15"/>
      <c r="I13" s="15"/>
      <c r="J13" s="13">
        <v>12</v>
      </c>
      <c r="K13" s="12"/>
      <c r="L13" s="14"/>
      <c r="M13" s="14"/>
      <c r="O13" s="15"/>
      <c r="P13" s="15"/>
      <c r="Q13" s="13">
        <v>12</v>
      </c>
      <c r="R13" s="12"/>
      <c r="S13" s="14"/>
      <c r="T13" s="14"/>
    </row>
    <row r="14" spans="1:20" ht="15" customHeight="1" x14ac:dyDescent="0.3">
      <c r="A14" s="15"/>
      <c r="B14" s="15"/>
      <c r="C14" s="13">
        <v>13</v>
      </c>
      <c r="D14" s="12"/>
      <c r="E14" s="14"/>
      <c r="F14" s="14"/>
      <c r="H14" s="15"/>
      <c r="I14" s="15"/>
      <c r="J14" s="13">
        <v>13</v>
      </c>
      <c r="K14" s="12"/>
      <c r="L14" s="14"/>
      <c r="M14" s="14"/>
      <c r="O14" s="15"/>
      <c r="P14" s="15"/>
      <c r="Q14" s="13">
        <v>13</v>
      </c>
      <c r="R14" s="12"/>
      <c r="S14" s="14"/>
      <c r="T14" s="14"/>
    </row>
    <row r="15" spans="1:20" ht="15" customHeight="1" x14ac:dyDescent="0.3">
      <c r="A15" s="15"/>
      <c r="B15" s="15"/>
      <c r="C15" s="13">
        <v>14</v>
      </c>
      <c r="D15" s="12"/>
      <c r="E15" s="14"/>
      <c r="F15" s="14"/>
      <c r="H15" s="15"/>
      <c r="I15" s="15"/>
      <c r="J15" s="13">
        <v>14</v>
      </c>
      <c r="K15" s="12"/>
      <c r="L15" s="14"/>
      <c r="M15" s="14"/>
      <c r="O15" s="15"/>
      <c r="P15" s="15"/>
      <c r="Q15" s="13">
        <v>14</v>
      </c>
      <c r="R15" s="12"/>
      <c r="S15" s="14"/>
      <c r="T15" s="14"/>
    </row>
    <row r="16" spans="1:20" ht="15" customHeight="1" x14ac:dyDescent="0.3">
      <c r="A16" s="15"/>
      <c r="B16" s="15"/>
      <c r="C16" s="13">
        <v>15</v>
      </c>
      <c r="D16" s="12"/>
      <c r="E16" s="14"/>
      <c r="F16" s="14"/>
      <c r="H16" s="15"/>
      <c r="I16" s="15"/>
      <c r="J16" s="13">
        <v>15</v>
      </c>
      <c r="K16" s="12"/>
      <c r="L16" s="14"/>
      <c r="M16" s="14"/>
      <c r="O16" s="15"/>
      <c r="P16" s="15"/>
      <c r="Q16" s="13">
        <v>15</v>
      </c>
      <c r="R16" s="12"/>
      <c r="S16" s="14"/>
      <c r="T16" s="14"/>
    </row>
    <row r="18" spans="1:20" ht="15" customHeight="1" x14ac:dyDescent="0.3">
      <c r="A18" s="11" t="s">
        <v>62</v>
      </c>
      <c r="B18" s="11" t="s">
        <v>63</v>
      </c>
      <c r="C18" s="11" t="s">
        <v>64</v>
      </c>
      <c r="D18" s="11" t="s">
        <v>65</v>
      </c>
      <c r="E18" s="11" t="s">
        <v>66</v>
      </c>
      <c r="F18" s="11" t="s">
        <v>67</v>
      </c>
      <c r="H18" s="11" t="s">
        <v>62</v>
      </c>
      <c r="I18" s="11" t="s">
        <v>63</v>
      </c>
      <c r="J18" s="11" t="s">
        <v>64</v>
      </c>
      <c r="K18" s="11" t="s">
        <v>65</v>
      </c>
      <c r="L18" s="11" t="s">
        <v>66</v>
      </c>
      <c r="M18" s="11" t="s">
        <v>67</v>
      </c>
      <c r="O18" s="11" t="s">
        <v>62</v>
      </c>
      <c r="P18" s="11" t="s">
        <v>63</v>
      </c>
      <c r="Q18" s="11" t="s">
        <v>64</v>
      </c>
      <c r="R18" s="11" t="s">
        <v>65</v>
      </c>
      <c r="S18" s="11" t="s">
        <v>66</v>
      </c>
      <c r="T18" s="11" t="s">
        <v>67</v>
      </c>
    </row>
    <row r="19" spans="1:20" ht="15" customHeight="1" x14ac:dyDescent="0.3">
      <c r="A19" s="15">
        <v>3.8</v>
      </c>
      <c r="B19" s="15">
        <v>3.2</v>
      </c>
      <c r="C19" s="13">
        <v>1</v>
      </c>
      <c r="D19" s="12"/>
      <c r="E19" s="14" t="e">
        <f>AVERAGE(D19:D33)</f>
        <v>#DIV/0!</v>
      </c>
      <c r="F19" s="14" t="e">
        <f>_xlfn.VAR.S(D19:D33)</f>
        <v>#DIV/0!</v>
      </c>
      <c r="H19" s="15">
        <v>5.4</v>
      </c>
      <c r="I19" s="15">
        <v>2.8</v>
      </c>
      <c r="J19" s="13">
        <v>1</v>
      </c>
      <c r="K19" s="12"/>
      <c r="L19" s="14" t="e">
        <f>AVERAGE(K19:K33)</f>
        <v>#DIV/0!</v>
      </c>
      <c r="M19" s="14" t="e">
        <f>_xlfn.VAR.S(K19:K33)</f>
        <v>#DIV/0!</v>
      </c>
      <c r="O19" s="15">
        <v>5</v>
      </c>
      <c r="P19" s="15">
        <v>1.2</v>
      </c>
      <c r="Q19" s="13">
        <v>1</v>
      </c>
      <c r="R19" s="12"/>
      <c r="S19" s="14" t="e">
        <f>AVERAGE(R19:R33)</f>
        <v>#DIV/0!</v>
      </c>
      <c r="T19" s="14" t="e">
        <f>_xlfn.VAR.S(R19:R33)</f>
        <v>#DIV/0!</v>
      </c>
    </row>
    <row r="20" spans="1:20" ht="15" customHeight="1" x14ac:dyDescent="0.3">
      <c r="A20" s="15"/>
      <c r="B20" s="15"/>
      <c r="C20" s="13">
        <v>2</v>
      </c>
      <c r="D20" s="12"/>
      <c r="E20" s="14"/>
      <c r="F20" s="14"/>
      <c r="H20" s="15"/>
      <c r="I20" s="15"/>
      <c r="J20" s="13">
        <v>2</v>
      </c>
      <c r="K20" s="12"/>
      <c r="L20" s="14"/>
      <c r="M20" s="14"/>
      <c r="O20" s="15"/>
      <c r="P20" s="15"/>
      <c r="Q20" s="13">
        <v>2</v>
      </c>
      <c r="R20" s="12"/>
      <c r="S20" s="14"/>
      <c r="T20" s="14"/>
    </row>
    <row r="21" spans="1:20" ht="15" customHeight="1" x14ac:dyDescent="0.3">
      <c r="A21" s="15"/>
      <c r="B21" s="15"/>
      <c r="C21" s="13">
        <v>3</v>
      </c>
      <c r="D21" s="12"/>
      <c r="E21" s="14"/>
      <c r="F21" s="14"/>
      <c r="H21" s="15"/>
      <c r="I21" s="15"/>
      <c r="J21" s="13">
        <v>3</v>
      </c>
      <c r="K21" s="12"/>
      <c r="L21" s="14"/>
      <c r="M21" s="14"/>
      <c r="O21" s="15"/>
      <c r="P21" s="15"/>
      <c r="Q21" s="13">
        <v>3</v>
      </c>
      <c r="R21" s="12"/>
      <c r="S21" s="14"/>
      <c r="T21" s="14"/>
    </row>
    <row r="22" spans="1:20" ht="15" customHeight="1" x14ac:dyDescent="0.3">
      <c r="A22" s="15"/>
      <c r="B22" s="15"/>
      <c r="C22" s="13">
        <v>4</v>
      </c>
      <c r="D22" s="12"/>
      <c r="E22" s="14"/>
      <c r="F22" s="14"/>
      <c r="H22" s="15"/>
      <c r="I22" s="15"/>
      <c r="J22" s="13">
        <v>4</v>
      </c>
      <c r="K22" s="12"/>
      <c r="L22" s="14"/>
      <c r="M22" s="14"/>
      <c r="O22" s="15"/>
      <c r="P22" s="15"/>
      <c r="Q22" s="13">
        <v>4</v>
      </c>
      <c r="R22" s="12"/>
      <c r="S22" s="14"/>
      <c r="T22" s="14"/>
    </row>
    <row r="23" spans="1:20" ht="15" customHeight="1" x14ac:dyDescent="0.3">
      <c r="A23" s="15"/>
      <c r="B23" s="15"/>
      <c r="C23" s="13">
        <v>5</v>
      </c>
      <c r="D23" s="12"/>
      <c r="E23" s="14"/>
      <c r="F23" s="14"/>
      <c r="H23" s="15"/>
      <c r="I23" s="15"/>
      <c r="J23" s="13">
        <v>5</v>
      </c>
      <c r="K23" s="12"/>
      <c r="L23" s="14"/>
      <c r="M23" s="14"/>
      <c r="O23" s="15"/>
      <c r="P23" s="15"/>
      <c r="Q23" s="13">
        <v>5</v>
      </c>
      <c r="R23" s="12"/>
      <c r="S23" s="14"/>
      <c r="T23" s="14"/>
    </row>
    <row r="24" spans="1:20" ht="15" customHeight="1" x14ac:dyDescent="0.3">
      <c r="A24" s="15"/>
      <c r="B24" s="15"/>
      <c r="C24" s="13">
        <v>6</v>
      </c>
      <c r="D24" s="12"/>
      <c r="E24" s="14"/>
      <c r="F24" s="14"/>
      <c r="H24" s="15"/>
      <c r="I24" s="15"/>
      <c r="J24" s="13">
        <v>6</v>
      </c>
      <c r="K24" s="12"/>
      <c r="L24" s="14"/>
      <c r="M24" s="14"/>
      <c r="O24" s="15"/>
      <c r="P24" s="15"/>
      <c r="Q24" s="13">
        <v>6</v>
      </c>
      <c r="R24" s="12"/>
      <c r="S24" s="14"/>
      <c r="T24" s="14"/>
    </row>
    <row r="25" spans="1:20" ht="15" customHeight="1" x14ac:dyDescent="0.3">
      <c r="A25" s="15"/>
      <c r="B25" s="15"/>
      <c r="C25" s="13">
        <v>7</v>
      </c>
      <c r="D25" s="12"/>
      <c r="E25" s="14"/>
      <c r="F25" s="14"/>
      <c r="H25" s="15"/>
      <c r="I25" s="15"/>
      <c r="J25" s="13">
        <v>7</v>
      </c>
      <c r="K25" s="12"/>
      <c r="L25" s="14"/>
      <c r="M25" s="14"/>
      <c r="O25" s="15"/>
      <c r="P25" s="15"/>
      <c r="Q25" s="13">
        <v>7</v>
      </c>
      <c r="R25" s="12"/>
      <c r="S25" s="14"/>
      <c r="T25" s="14"/>
    </row>
    <row r="26" spans="1:20" ht="15" customHeight="1" x14ac:dyDescent="0.3">
      <c r="A26" s="15"/>
      <c r="B26" s="15"/>
      <c r="C26" s="13">
        <v>8</v>
      </c>
      <c r="D26" s="12"/>
      <c r="E26" s="14"/>
      <c r="F26" s="14"/>
      <c r="H26" s="15"/>
      <c r="I26" s="15"/>
      <c r="J26" s="13">
        <v>8</v>
      </c>
      <c r="K26" s="12"/>
      <c r="L26" s="14"/>
      <c r="M26" s="14"/>
      <c r="O26" s="15"/>
      <c r="P26" s="15"/>
      <c r="Q26" s="13">
        <v>8</v>
      </c>
      <c r="R26" s="12"/>
      <c r="S26" s="14"/>
      <c r="T26" s="14"/>
    </row>
    <row r="27" spans="1:20" ht="15" customHeight="1" x14ac:dyDescent="0.3">
      <c r="A27" s="15"/>
      <c r="B27" s="15"/>
      <c r="C27" s="13">
        <v>9</v>
      </c>
      <c r="D27" s="12"/>
      <c r="E27" s="14"/>
      <c r="F27" s="14"/>
      <c r="H27" s="15"/>
      <c r="I27" s="15"/>
      <c r="J27" s="13">
        <v>9</v>
      </c>
      <c r="K27" s="12"/>
      <c r="L27" s="14"/>
      <c r="M27" s="14"/>
      <c r="O27" s="15"/>
      <c r="P27" s="15"/>
      <c r="Q27" s="13">
        <v>9</v>
      </c>
      <c r="R27" s="12"/>
      <c r="S27" s="14"/>
      <c r="T27" s="14"/>
    </row>
    <row r="28" spans="1:20" ht="15" customHeight="1" x14ac:dyDescent="0.3">
      <c r="A28" s="15"/>
      <c r="B28" s="15"/>
      <c r="C28" s="13">
        <v>10</v>
      </c>
      <c r="D28" s="12"/>
      <c r="E28" s="14"/>
      <c r="F28" s="14"/>
      <c r="H28" s="15"/>
      <c r="I28" s="15"/>
      <c r="J28" s="13">
        <v>10</v>
      </c>
      <c r="K28" s="12"/>
      <c r="L28" s="14"/>
      <c r="M28" s="14"/>
      <c r="O28" s="15"/>
      <c r="P28" s="15"/>
      <c r="Q28" s="13">
        <v>10</v>
      </c>
      <c r="R28" s="12"/>
      <c r="S28" s="14"/>
      <c r="T28" s="14"/>
    </row>
    <row r="29" spans="1:20" ht="15" customHeight="1" x14ac:dyDescent="0.3">
      <c r="A29" s="15"/>
      <c r="B29" s="15"/>
      <c r="C29" s="13">
        <v>11</v>
      </c>
      <c r="D29" s="12"/>
      <c r="E29" s="14"/>
      <c r="F29" s="14"/>
      <c r="H29" s="15"/>
      <c r="I29" s="15"/>
      <c r="J29" s="13">
        <v>11</v>
      </c>
      <c r="K29" s="12"/>
      <c r="L29" s="14"/>
      <c r="M29" s="14"/>
      <c r="O29" s="15"/>
      <c r="P29" s="15"/>
      <c r="Q29" s="13">
        <v>11</v>
      </c>
      <c r="R29" s="12"/>
      <c r="S29" s="14"/>
      <c r="T29" s="14"/>
    </row>
    <row r="30" spans="1:20" ht="15" customHeight="1" x14ac:dyDescent="0.3">
      <c r="A30" s="15"/>
      <c r="B30" s="15"/>
      <c r="C30" s="13">
        <v>12</v>
      </c>
      <c r="D30" s="12"/>
      <c r="E30" s="14"/>
      <c r="F30" s="14"/>
      <c r="H30" s="15"/>
      <c r="I30" s="15"/>
      <c r="J30" s="13">
        <v>12</v>
      </c>
      <c r="K30" s="12"/>
      <c r="L30" s="14"/>
      <c r="M30" s="14"/>
      <c r="O30" s="15"/>
      <c r="P30" s="15"/>
      <c r="Q30" s="13">
        <v>12</v>
      </c>
      <c r="R30" s="12"/>
      <c r="S30" s="14"/>
      <c r="T30" s="14"/>
    </row>
    <row r="31" spans="1:20" ht="15" customHeight="1" x14ac:dyDescent="0.3">
      <c r="A31" s="15"/>
      <c r="B31" s="15"/>
      <c r="C31" s="13">
        <v>13</v>
      </c>
      <c r="D31" s="12"/>
      <c r="E31" s="14"/>
      <c r="F31" s="14"/>
      <c r="H31" s="15"/>
      <c r="I31" s="15"/>
      <c r="J31" s="13">
        <v>13</v>
      </c>
      <c r="K31" s="12"/>
      <c r="L31" s="14"/>
      <c r="M31" s="14"/>
      <c r="O31" s="15"/>
      <c r="P31" s="15"/>
      <c r="Q31" s="13">
        <v>13</v>
      </c>
      <c r="R31" s="12"/>
      <c r="S31" s="14"/>
      <c r="T31" s="14"/>
    </row>
    <row r="32" spans="1:20" ht="15" customHeight="1" x14ac:dyDescent="0.3">
      <c r="A32" s="15"/>
      <c r="B32" s="15"/>
      <c r="C32" s="13">
        <v>14</v>
      </c>
      <c r="D32" s="12"/>
      <c r="E32" s="14"/>
      <c r="F32" s="14"/>
      <c r="H32" s="15"/>
      <c r="I32" s="15"/>
      <c r="J32" s="13">
        <v>14</v>
      </c>
      <c r="K32" s="12"/>
      <c r="L32" s="14"/>
      <c r="M32" s="14"/>
      <c r="O32" s="15"/>
      <c r="P32" s="15"/>
      <c r="Q32" s="13">
        <v>14</v>
      </c>
      <c r="R32" s="12"/>
      <c r="S32" s="14"/>
      <c r="T32" s="14"/>
    </row>
    <row r="33" spans="1:20" ht="15" customHeight="1" x14ac:dyDescent="0.3">
      <c r="A33" s="15"/>
      <c r="B33" s="15"/>
      <c r="C33" s="13">
        <v>15</v>
      </c>
      <c r="D33" s="12"/>
      <c r="E33" s="14"/>
      <c r="F33" s="14"/>
      <c r="H33" s="15"/>
      <c r="I33" s="15"/>
      <c r="J33" s="13">
        <v>15</v>
      </c>
      <c r="K33" s="12"/>
      <c r="L33" s="14"/>
      <c r="M33" s="14"/>
      <c r="O33" s="15"/>
      <c r="P33" s="15"/>
      <c r="Q33" s="13">
        <v>15</v>
      </c>
      <c r="R33" s="12"/>
      <c r="S33" s="14"/>
      <c r="T33" s="14"/>
    </row>
    <row r="35" spans="1:20" ht="15" customHeight="1" x14ac:dyDescent="0.3">
      <c r="A35" s="11" t="s">
        <v>68</v>
      </c>
      <c r="B35" s="15" t="s">
        <v>70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</row>
  </sheetData>
  <mergeCells count="25">
    <mergeCell ref="L19:L33"/>
    <mergeCell ref="M19:M33"/>
    <mergeCell ref="B35:T35"/>
    <mergeCell ref="O19:O33"/>
    <mergeCell ref="P19:P33"/>
    <mergeCell ref="S19:S33"/>
    <mergeCell ref="T19:T33"/>
    <mergeCell ref="I19:I33"/>
    <mergeCell ref="A19:A33"/>
    <mergeCell ref="B19:B33"/>
    <mergeCell ref="E19:E33"/>
    <mergeCell ref="F19:F33"/>
    <mergeCell ref="H19:H33"/>
    <mergeCell ref="T2:T16"/>
    <mergeCell ref="A2:A16"/>
    <mergeCell ref="B2:B16"/>
    <mergeCell ref="E2:E16"/>
    <mergeCell ref="F2:F16"/>
    <mergeCell ref="H2:H16"/>
    <mergeCell ref="I2:I16"/>
    <mergeCell ref="L2:L16"/>
    <mergeCell ref="M2:M16"/>
    <mergeCell ref="O2:O16"/>
    <mergeCell ref="P2:P16"/>
    <mergeCell ref="S2:S16"/>
  </mergeCells>
  <phoneticPr fontId="1" type="noConversion"/>
  <conditionalFormatting sqref="D2:D1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D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1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5E2F5-971A-472C-A828-027DBC51B7D3}">
  <dimension ref="A1:P14"/>
  <sheetViews>
    <sheetView workbookViewId="0">
      <selection activeCell="K5" sqref="K5"/>
    </sheetView>
  </sheetViews>
  <sheetFormatPr defaultColWidth="10.75" defaultRowHeight="20.149999999999999" customHeight="1" x14ac:dyDescent="0.3"/>
  <cols>
    <col min="1" max="16384" width="10.75" style="3"/>
  </cols>
  <sheetData>
    <row r="1" spans="1:16" ht="20.149999999999999" customHeight="1" x14ac:dyDescent="0.3">
      <c r="A1" s="7" t="s">
        <v>55</v>
      </c>
      <c r="B1" s="7">
        <v>0</v>
      </c>
      <c r="C1" s="7">
        <v>1.2</v>
      </c>
      <c r="D1" s="7">
        <v>2.2000000000000002</v>
      </c>
      <c r="E1" s="7">
        <f>D1+0.4</f>
        <v>2.6</v>
      </c>
      <c r="F1" s="7">
        <f t="shared" ref="F1:N1" si="0">E1+0.4</f>
        <v>3</v>
      </c>
      <c r="G1" s="7">
        <f t="shared" si="0"/>
        <v>3.4</v>
      </c>
      <c r="H1" s="7">
        <f t="shared" si="0"/>
        <v>3.8</v>
      </c>
      <c r="I1" s="8">
        <f t="shared" si="0"/>
        <v>4.2</v>
      </c>
      <c r="J1" s="7">
        <f t="shared" si="0"/>
        <v>4.6000000000000005</v>
      </c>
      <c r="K1" s="7">
        <f t="shared" si="0"/>
        <v>5.0000000000000009</v>
      </c>
      <c r="L1" s="7">
        <f t="shared" si="0"/>
        <v>5.4000000000000012</v>
      </c>
      <c r="M1" s="7">
        <f t="shared" si="0"/>
        <v>5.8000000000000016</v>
      </c>
      <c r="N1" s="7">
        <f t="shared" si="0"/>
        <v>6.200000000000002</v>
      </c>
      <c r="O1" s="7">
        <v>7.2</v>
      </c>
      <c r="P1" s="7">
        <v>8.4</v>
      </c>
    </row>
    <row r="2" spans="1:16" ht="20.149999999999999" customHeight="1" x14ac:dyDescent="0.3">
      <c r="A2" s="7">
        <v>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6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</row>
    <row r="3" spans="1:16" ht="20.149999999999999" customHeight="1" x14ac:dyDescent="0.3">
      <c r="A3" s="7">
        <v>0.4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6">
        <v>0</v>
      </c>
      <c r="J3" s="5">
        <v>0</v>
      </c>
      <c r="K3" s="5">
        <v>5.3999999999999999E-2</v>
      </c>
      <c r="L3" s="5">
        <v>0</v>
      </c>
      <c r="M3" s="5">
        <v>0</v>
      </c>
      <c r="N3" s="5">
        <v>0</v>
      </c>
      <c r="O3" s="5">
        <v>0</v>
      </c>
      <c r="P3" s="5">
        <v>0</v>
      </c>
    </row>
    <row r="4" spans="1:16" ht="20.149999999999999" customHeight="1" x14ac:dyDescent="0.3">
      <c r="A4" s="7">
        <f t="shared" ref="A4:A13" si="1">A3+0.4</f>
        <v>0.8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6">
        <v>0</v>
      </c>
      <c r="J4" s="5">
        <v>0.17799999999999999</v>
      </c>
      <c r="K4" s="5">
        <v>0.27500000000000002</v>
      </c>
      <c r="L4" s="5">
        <v>0.17499999999999999</v>
      </c>
      <c r="M4" s="5">
        <v>0</v>
      </c>
      <c r="N4" s="5">
        <v>0</v>
      </c>
      <c r="O4" s="5">
        <v>0</v>
      </c>
      <c r="P4" s="5">
        <v>0</v>
      </c>
    </row>
    <row r="5" spans="1:16" ht="20.149999999999999" customHeight="1" x14ac:dyDescent="0.3">
      <c r="A5" s="7">
        <f t="shared" si="1"/>
        <v>1.2000000000000002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6">
        <v>0.11600000000000001</v>
      </c>
      <c r="J5" s="5">
        <v>0.215</v>
      </c>
      <c r="K5" s="5">
        <v>0.36</v>
      </c>
      <c r="L5" s="5">
        <v>0</v>
      </c>
      <c r="M5" s="5">
        <v>0</v>
      </c>
      <c r="N5" s="5">
        <v>0</v>
      </c>
      <c r="O5" s="5">
        <v>0</v>
      </c>
      <c r="P5" s="5">
        <v>0</v>
      </c>
    </row>
    <row r="6" spans="1:16" ht="20.149999999999999" customHeight="1" x14ac:dyDescent="0.3">
      <c r="A6" s="7">
        <f t="shared" si="1"/>
        <v>1.6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4.4999999999999998E-2</v>
      </c>
      <c r="H6" s="5">
        <v>0.30299999999999999</v>
      </c>
      <c r="I6" s="6">
        <v>0.45300000000000001</v>
      </c>
      <c r="J6" s="5">
        <v>0.40300000000000002</v>
      </c>
      <c r="K6" s="5">
        <v>0.55000000000000004</v>
      </c>
      <c r="L6" s="5">
        <v>0.17499999999999999</v>
      </c>
      <c r="M6" s="5">
        <v>8.4000000000000005E-2</v>
      </c>
      <c r="N6" s="5">
        <v>0</v>
      </c>
      <c r="O6" s="5">
        <v>0</v>
      </c>
      <c r="P6" s="5">
        <v>0</v>
      </c>
    </row>
    <row r="7" spans="1:16" ht="20.149999999999999" customHeight="1" x14ac:dyDescent="0.3">
      <c r="A7" s="7">
        <f t="shared" si="1"/>
        <v>2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0.45500000000000002</v>
      </c>
      <c r="H7" s="5">
        <v>1.7869999999999999</v>
      </c>
      <c r="I7" s="6">
        <v>2.7770000000000001</v>
      </c>
      <c r="J7" s="5">
        <v>2.1800000000000002</v>
      </c>
      <c r="K7" s="5">
        <v>0.71499999999999997</v>
      </c>
      <c r="L7" s="5">
        <v>0.11799999999999999</v>
      </c>
      <c r="M7" s="5">
        <v>0</v>
      </c>
      <c r="N7" s="5">
        <v>0</v>
      </c>
      <c r="O7" s="5">
        <v>0</v>
      </c>
      <c r="P7" s="5">
        <v>0</v>
      </c>
    </row>
    <row r="8" spans="1:16" ht="20.149999999999999" customHeight="1" x14ac:dyDescent="0.3">
      <c r="A8" s="8">
        <f t="shared" si="1"/>
        <v>2.4</v>
      </c>
      <c r="B8" s="6">
        <v>0</v>
      </c>
      <c r="C8" s="6">
        <v>0</v>
      </c>
      <c r="D8" s="6">
        <v>0</v>
      </c>
      <c r="E8" s="6">
        <v>0</v>
      </c>
      <c r="F8" s="6">
        <v>0.125</v>
      </c>
      <c r="G8" s="6">
        <v>0.64900000000000002</v>
      </c>
      <c r="H8" s="6">
        <v>3.3279999999999998</v>
      </c>
      <c r="I8" s="6">
        <v>0.90400000000000003</v>
      </c>
      <c r="J8" s="6">
        <v>2.8639999999999999</v>
      </c>
      <c r="K8" s="6">
        <v>0.311</v>
      </c>
      <c r="L8" s="6">
        <v>7.0000000000000001E-3</v>
      </c>
      <c r="M8" s="6">
        <v>0.17699999999999999</v>
      </c>
      <c r="N8" s="6">
        <v>0</v>
      </c>
      <c r="O8" s="6">
        <v>0</v>
      </c>
      <c r="P8" s="6">
        <v>0</v>
      </c>
    </row>
    <row r="9" spans="1:16" ht="20.149999999999999" customHeight="1" x14ac:dyDescent="0.3">
      <c r="A9" s="7">
        <f t="shared" si="1"/>
        <v>2.8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0.68899999999999995</v>
      </c>
      <c r="H9" s="5">
        <v>4.6989999999999998</v>
      </c>
      <c r="I9" s="6">
        <v>2.59</v>
      </c>
      <c r="J9" s="5">
        <v>2.2749999999999999</v>
      </c>
      <c r="K9" s="5">
        <v>0.24099999999999999</v>
      </c>
      <c r="L9" s="5">
        <v>0.03</v>
      </c>
      <c r="M9" s="5">
        <v>8.5999999999999993E-2</v>
      </c>
      <c r="N9" s="5">
        <v>0</v>
      </c>
      <c r="O9" s="5">
        <v>0</v>
      </c>
      <c r="P9" s="5">
        <v>0</v>
      </c>
    </row>
    <row r="10" spans="1:16" ht="20.149999999999999" customHeight="1" x14ac:dyDescent="0.3">
      <c r="A10" s="7">
        <f t="shared" si="1"/>
        <v>3.1999999999999997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0.13700000000000001</v>
      </c>
      <c r="H10" s="5">
        <v>0.47899999999999998</v>
      </c>
      <c r="I10" s="6">
        <v>0.311</v>
      </c>
      <c r="J10" s="5">
        <v>0.32100000000000001</v>
      </c>
      <c r="K10" s="5">
        <v>0.221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</row>
    <row r="11" spans="1:16" ht="20.149999999999999" customHeight="1" x14ac:dyDescent="0.3">
      <c r="A11" s="7">
        <f t="shared" si="1"/>
        <v>3.5999999999999996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0.24099999999999999</v>
      </c>
      <c r="I11" s="6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</row>
    <row r="12" spans="1:16" ht="20.149999999999999" customHeight="1" x14ac:dyDescent="0.3">
      <c r="A12" s="7">
        <f t="shared" si="1"/>
        <v>3.9999999999999996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6">
        <v>0</v>
      </c>
      <c r="J12" s="5">
        <v>0</v>
      </c>
      <c r="K12" s="5">
        <v>6.9000000000000006E-2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</row>
    <row r="13" spans="1:16" ht="20.149999999999999" customHeight="1" x14ac:dyDescent="0.3">
      <c r="A13" s="7">
        <f t="shared" si="1"/>
        <v>4.3999999999999995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6">
        <v>0</v>
      </c>
      <c r="J13" s="5">
        <v>0</v>
      </c>
      <c r="K13" s="5">
        <v>0.29599999999999999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</row>
    <row r="14" spans="1:16" ht="20.149999999999999" customHeight="1" x14ac:dyDescent="0.3">
      <c r="A14" s="7">
        <v>4.8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6">
        <v>0</v>
      </c>
      <c r="J14" s="5">
        <v>0</v>
      </c>
      <c r="K14" s="5">
        <v>0.33400000000000002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</row>
  </sheetData>
  <phoneticPr fontId="1" type="noConversion"/>
  <conditionalFormatting sqref="B2:P1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6719F-63A8-4145-8432-958FB4D256DF}">
  <dimension ref="A1:T33"/>
  <sheetViews>
    <sheetView workbookViewId="0">
      <selection activeCell="H35" sqref="H35"/>
    </sheetView>
  </sheetViews>
  <sheetFormatPr defaultColWidth="10.75" defaultRowHeight="15" customHeight="1" x14ac:dyDescent="0.3"/>
  <cols>
    <col min="1" max="16384" width="10.75" style="10"/>
  </cols>
  <sheetData>
    <row r="1" spans="1:20" ht="15" customHeight="1" x14ac:dyDescent="0.3">
      <c r="A1" s="11" t="s">
        <v>62</v>
      </c>
      <c r="B1" s="11" t="s">
        <v>63</v>
      </c>
      <c r="C1" s="11" t="s">
        <v>64</v>
      </c>
      <c r="D1" s="11" t="s">
        <v>65</v>
      </c>
      <c r="E1" s="11" t="s">
        <v>66</v>
      </c>
      <c r="F1" s="11" t="s">
        <v>67</v>
      </c>
      <c r="H1" s="11" t="s">
        <v>62</v>
      </c>
      <c r="I1" s="11" t="s">
        <v>63</v>
      </c>
      <c r="J1" s="11" t="s">
        <v>64</v>
      </c>
      <c r="K1" s="11" t="s">
        <v>65</v>
      </c>
      <c r="L1" s="11" t="s">
        <v>66</v>
      </c>
      <c r="M1" s="11" t="s">
        <v>67</v>
      </c>
      <c r="O1" s="11" t="s">
        <v>62</v>
      </c>
      <c r="P1" s="11" t="s">
        <v>63</v>
      </c>
      <c r="Q1" s="11" t="s">
        <v>64</v>
      </c>
      <c r="R1" s="11" t="s">
        <v>65</v>
      </c>
      <c r="S1" s="11" t="s">
        <v>66</v>
      </c>
      <c r="T1" s="11" t="s">
        <v>67</v>
      </c>
    </row>
    <row r="2" spans="1:20" ht="15" customHeight="1" x14ac:dyDescent="0.3">
      <c r="A2" s="15">
        <v>4.5999999999999996</v>
      </c>
      <c r="B2" s="15">
        <v>2.4</v>
      </c>
      <c r="C2" s="13">
        <v>1</v>
      </c>
      <c r="D2" s="12">
        <v>3.081</v>
      </c>
      <c r="E2" s="14">
        <f>AVERAGE(D2:D16)</f>
        <v>2.8636666666666661</v>
      </c>
      <c r="F2" s="14">
        <f>_xlfn.VAR.S(D2:D16)</f>
        <v>0.13126080952381308</v>
      </c>
      <c r="H2" s="15">
        <v>3.8</v>
      </c>
      <c r="I2" s="15">
        <v>2.4</v>
      </c>
      <c r="J2" s="13">
        <v>1</v>
      </c>
      <c r="K2" s="12">
        <v>3.0750000000000002</v>
      </c>
      <c r="L2" s="14">
        <f>AVERAGE(K2:K16)</f>
        <v>3.3275333333333332</v>
      </c>
      <c r="M2" s="14">
        <f>_xlfn.VAR.S(K2:K16)</f>
        <v>9.3837123809523817E-2</v>
      </c>
      <c r="O2" s="15">
        <v>4.2</v>
      </c>
      <c r="P2" s="15">
        <v>1.6</v>
      </c>
      <c r="Q2" s="13">
        <v>1</v>
      </c>
      <c r="R2" s="12">
        <v>0.42799999999999999</v>
      </c>
      <c r="S2" s="14">
        <f>AVERAGE(R2:R16)</f>
        <v>0.45266666666666672</v>
      </c>
      <c r="T2" s="14">
        <f>_xlfn.VAR.S(R2:R16)</f>
        <v>1.015495238095232E-2</v>
      </c>
    </row>
    <row r="3" spans="1:20" ht="15" customHeight="1" x14ac:dyDescent="0.3">
      <c r="A3" s="15"/>
      <c r="B3" s="15"/>
      <c r="C3" s="13">
        <v>2</v>
      </c>
      <c r="D3" s="12">
        <v>2.8479999999999999</v>
      </c>
      <c r="E3" s="14"/>
      <c r="F3" s="14"/>
      <c r="H3" s="15"/>
      <c r="I3" s="15"/>
      <c r="J3" s="13">
        <v>2</v>
      </c>
      <c r="K3" s="12">
        <v>3.5089999999999999</v>
      </c>
      <c r="L3" s="14"/>
      <c r="M3" s="14"/>
      <c r="O3" s="15"/>
      <c r="P3" s="15"/>
      <c r="Q3" s="13">
        <v>2</v>
      </c>
      <c r="R3" s="12">
        <v>0.43</v>
      </c>
      <c r="S3" s="14"/>
      <c r="T3" s="14"/>
    </row>
    <row r="4" spans="1:20" ht="15" customHeight="1" x14ac:dyDescent="0.3">
      <c r="A4" s="15"/>
      <c r="B4" s="15"/>
      <c r="C4" s="13">
        <v>3</v>
      </c>
      <c r="D4" s="12">
        <v>3.3090000000000002</v>
      </c>
      <c r="E4" s="14"/>
      <c r="F4" s="14"/>
      <c r="H4" s="15"/>
      <c r="I4" s="15"/>
      <c r="J4" s="13">
        <v>3</v>
      </c>
      <c r="K4" s="12">
        <v>3.8530000000000002</v>
      </c>
      <c r="L4" s="14"/>
      <c r="M4" s="14"/>
      <c r="O4" s="15"/>
      <c r="P4" s="15"/>
      <c r="Q4" s="13">
        <v>3</v>
      </c>
      <c r="R4" s="12">
        <v>0.46700000000000003</v>
      </c>
      <c r="S4" s="14"/>
      <c r="T4" s="14"/>
    </row>
    <row r="5" spans="1:20" ht="15" customHeight="1" x14ac:dyDescent="0.3">
      <c r="A5" s="15"/>
      <c r="B5" s="15"/>
      <c r="C5" s="13">
        <v>4</v>
      </c>
      <c r="D5" s="12">
        <v>2</v>
      </c>
      <c r="E5" s="14"/>
      <c r="F5" s="14"/>
      <c r="H5" s="15"/>
      <c r="I5" s="15"/>
      <c r="J5" s="13">
        <v>4</v>
      </c>
      <c r="K5" s="12">
        <v>3.2370000000000001</v>
      </c>
      <c r="L5" s="14"/>
      <c r="M5" s="14"/>
      <c r="O5" s="15"/>
      <c r="P5" s="15"/>
      <c r="Q5" s="13">
        <v>4</v>
      </c>
      <c r="R5" s="12">
        <v>0.505</v>
      </c>
      <c r="S5" s="14"/>
      <c r="T5" s="14"/>
    </row>
    <row r="6" spans="1:20" ht="15" customHeight="1" x14ac:dyDescent="0.3">
      <c r="A6" s="15"/>
      <c r="B6" s="15"/>
      <c r="C6" s="13">
        <v>5</v>
      </c>
      <c r="D6" s="12">
        <v>3.419</v>
      </c>
      <c r="E6" s="14"/>
      <c r="F6" s="14"/>
      <c r="H6" s="15"/>
      <c r="I6" s="15"/>
      <c r="J6" s="13">
        <v>5</v>
      </c>
      <c r="K6" s="12">
        <v>3.3279999999999998</v>
      </c>
      <c r="L6" s="14"/>
      <c r="M6" s="14"/>
      <c r="O6" s="15"/>
      <c r="P6" s="15"/>
      <c r="Q6" s="13">
        <v>5</v>
      </c>
      <c r="R6" s="12">
        <v>0.58299999999999996</v>
      </c>
      <c r="S6" s="14"/>
      <c r="T6" s="14"/>
    </row>
    <row r="7" spans="1:20" ht="15" customHeight="1" x14ac:dyDescent="0.3">
      <c r="A7" s="15"/>
      <c r="B7" s="15"/>
      <c r="C7" s="13">
        <v>6</v>
      </c>
      <c r="D7" s="12">
        <v>2.9409999999999998</v>
      </c>
      <c r="E7" s="14"/>
      <c r="F7" s="14"/>
      <c r="H7" s="15"/>
      <c r="I7" s="15"/>
      <c r="J7" s="13">
        <v>6</v>
      </c>
      <c r="K7" s="12">
        <v>2.9409999999999998</v>
      </c>
      <c r="L7" s="14"/>
      <c r="M7" s="14"/>
      <c r="O7" s="15"/>
      <c r="P7" s="15"/>
      <c r="Q7" s="13">
        <v>6</v>
      </c>
      <c r="R7" s="12">
        <v>0.66500000000000004</v>
      </c>
      <c r="S7" s="14"/>
      <c r="T7" s="14"/>
    </row>
    <row r="8" spans="1:20" ht="15" customHeight="1" x14ac:dyDescent="0.3">
      <c r="A8" s="15"/>
      <c r="B8" s="15"/>
      <c r="C8" s="13">
        <v>7</v>
      </c>
      <c r="D8" s="12">
        <v>2.7210000000000001</v>
      </c>
      <c r="E8" s="14"/>
      <c r="F8" s="14"/>
      <c r="H8" s="15"/>
      <c r="I8" s="15"/>
      <c r="J8" s="13">
        <v>7</v>
      </c>
      <c r="K8" s="12">
        <v>3.3090000000000002</v>
      </c>
      <c r="L8" s="14"/>
      <c r="M8" s="14"/>
      <c r="O8" s="15"/>
      <c r="P8" s="15"/>
      <c r="Q8" s="13">
        <v>7</v>
      </c>
      <c r="R8" s="12">
        <v>0.42399999999999999</v>
      </c>
      <c r="S8" s="14"/>
      <c r="T8" s="14"/>
    </row>
    <row r="9" spans="1:20" ht="15" customHeight="1" x14ac:dyDescent="0.3">
      <c r="A9" s="15"/>
      <c r="B9" s="15"/>
      <c r="C9" s="13">
        <v>8</v>
      </c>
      <c r="D9" s="12">
        <v>2.653</v>
      </c>
      <c r="E9" s="14"/>
      <c r="F9" s="14"/>
      <c r="H9" s="15"/>
      <c r="I9" s="15"/>
      <c r="J9" s="13">
        <v>8</v>
      </c>
      <c r="K9" s="12">
        <v>2.9289999999999998</v>
      </c>
      <c r="L9" s="14"/>
      <c r="M9" s="14"/>
      <c r="O9" s="15"/>
      <c r="P9" s="15"/>
      <c r="Q9" s="13">
        <v>8</v>
      </c>
      <c r="R9" s="12">
        <v>0.29799999999999999</v>
      </c>
      <c r="S9" s="14"/>
      <c r="T9" s="14"/>
    </row>
    <row r="10" spans="1:20" ht="15" customHeight="1" x14ac:dyDescent="0.3">
      <c r="A10" s="15"/>
      <c r="B10" s="15"/>
      <c r="C10" s="13">
        <v>9</v>
      </c>
      <c r="D10" s="12">
        <v>3.2559999999999998</v>
      </c>
      <c r="E10" s="14"/>
      <c r="F10" s="14"/>
      <c r="H10" s="15"/>
      <c r="I10" s="15"/>
      <c r="J10" s="13">
        <v>9</v>
      </c>
      <c r="K10" s="12">
        <v>2.9929999999999999</v>
      </c>
      <c r="L10" s="14"/>
      <c r="M10" s="14"/>
      <c r="O10" s="15"/>
      <c r="P10" s="15"/>
      <c r="Q10" s="13">
        <v>9</v>
      </c>
      <c r="R10" s="12">
        <v>0.41099999999999998</v>
      </c>
      <c r="S10" s="14"/>
      <c r="T10" s="14"/>
    </row>
    <row r="11" spans="1:20" ht="15" customHeight="1" x14ac:dyDescent="0.3">
      <c r="A11" s="15"/>
      <c r="B11" s="15"/>
      <c r="C11" s="13">
        <v>10</v>
      </c>
      <c r="D11" s="12">
        <v>2.5979999999999999</v>
      </c>
      <c r="E11" s="14"/>
      <c r="F11" s="14"/>
      <c r="H11" s="15"/>
      <c r="I11" s="15"/>
      <c r="J11" s="13">
        <v>10</v>
      </c>
      <c r="K11" s="12">
        <v>3.71</v>
      </c>
      <c r="L11" s="14"/>
      <c r="M11" s="14"/>
      <c r="O11" s="15"/>
      <c r="P11" s="15"/>
      <c r="Q11" s="13">
        <v>10</v>
      </c>
      <c r="R11" s="12">
        <v>0.53300000000000003</v>
      </c>
      <c r="S11" s="14"/>
      <c r="T11" s="14"/>
    </row>
    <row r="12" spans="1:20" ht="15" customHeight="1" x14ac:dyDescent="0.3">
      <c r="A12" s="15"/>
      <c r="B12" s="15"/>
      <c r="C12" s="13">
        <v>11</v>
      </c>
      <c r="D12" s="12">
        <v>2.6749999999999998</v>
      </c>
      <c r="E12" s="14"/>
      <c r="F12" s="14"/>
      <c r="H12" s="15"/>
      <c r="I12" s="15"/>
      <c r="J12" s="13">
        <v>11</v>
      </c>
      <c r="K12" s="12">
        <v>3.7570000000000001</v>
      </c>
      <c r="L12" s="14"/>
      <c r="M12" s="14"/>
      <c r="O12" s="15"/>
      <c r="P12" s="15"/>
      <c r="Q12" s="13">
        <v>11</v>
      </c>
      <c r="R12" s="12">
        <v>0.48499999999999999</v>
      </c>
      <c r="S12" s="14"/>
      <c r="T12" s="14"/>
    </row>
    <row r="13" spans="1:20" ht="15" customHeight="1" x14ac:dyDescent="0.3">
      <c r="A13" s="15"/>
      <c r="B13" s="15"/>
      <c r="C13" s="13">
        <v>12</v>
      </c>
      <c r="D13" s="12">
        <v>2.5339999999999998</v>
      </c>
      <c r="E13" s="14"/>
      <c r="F13" s="14"/>
      <c r="H13" s="15"/>
      <c r="I13" s="15"/>
      <c r="J13" s="13">
        <v>12</v>
      </c>
      <c r="K13" s="12">
        <v>2.968</v>
      </c>
      <c r="L13" s="14"/>
      <c r="M13" s="14"/>
      <c r="O13" s="15"/>
      <c r="P13" s="15"/>
      <c r="Q13" s="13">
        <v>12</v>
      </c>
      <c r="R13" s="12">
        <v>0.42399999999999999</v>
      </c>
      <c r="S13" s="14"/>
      <c r="T13" s="14"/>
    </row>
    <row r="14" spans="1:20" ht="15" customHeight="1" x14ac:dyDescent="0.3">
      <c r="A14" s="15"/>
      <c r="B14" s="15"/>
      <c r="C14" s="13">
        <v>13</v>
      </c>
      <c r="D14" s="12">
        <v>3.0259999999999998</v>
      </c>
      <c r="E14" s="14"/>
      <c r="F14" s="14"/>
      <c r="H14" s="15"/>
      <c r="I14" s="15"/>
      <c r="J14" s="13">
        <v>13</v>
      </c>
      <c r="K14" s="12">
        <v>3.5209999999999999</v>
      </c>
      <c r="L14" s="14"/>
      <c r="M14" s="14"/>
      <c r="O14" s="15"/>
      <c r="P14" s="15"/>
      <c r="Q14" s="13">
        <v>13</v>
      </c>
      <c r="R14" s="12">
        <v>0.34399999999999997</v>
      </c>
      <c r="S14" s="14"/>
      <c r="T14" s="14"/>
    </row>
    <row r="15" spans="1:20" ht="15" customHeight="1" x14ac:dyDescent="0.3">
      <c r="A15" s="15"/>
      <c r="B15" s="15"/>
      <c r="C15" s="13">
        <v>14</v>
      </c>
      <c r="D15" s="12">
        <v>3.117</v>
      </c>
      <c r="E15" s="14"/>
      <c r="F15" s="14"/>
      <c r="H15" s="15"/>
      <c r="I15" s="15"/>
      <c r="J15" s="13">
        <v>14</v>
      </c>
      <c r="K15" s="12">
        <v>3.3340000000000001</v>
      </c>
      <c r="L15" s="14"/>
      <c r="M15" s="14"/>
      <c r="O15" s="15"/>
      <c r="P15" s="15"/>
      <c r="Q15" s="13">
        <v>14</v>
      </c>
      <c r="R15" s="12">
        <v>0.28899999999999998</v>
      </c>
      <c r="S15" s="14"/>
      <c r="T15" s="14"/>
    </row>
    <row r="16" spans="1:20" ht="15" customHeight="1" x14ac:dyDescent="0.3">
      <c r="A16" s="15"/>
      <c r="B16" s="15"/>
      <c r="C16" s="13">
        <v>15</v>
      </c>
      <c r="D16" s="12">
        <v>2.7770000000000001</v>
      </c>
      <c r="E16" s="14"/>
      <c r="F16" s="14"/>
      <c r="H16" s="15"/>
      <c r="I16" s="15"/>
      <c r="J16" s="13">
        <v>15</v>
      </c>
      <c r="K16" s="12">
        <v>3.4489999999999998</v>
      </c>
      <c r="L16" s="14"/>
      <c r="M16" s="14"/>
      <c r="O16" s="15"/>
      <c r="P16" s="15"/>
      <c r="Q16" s="13">
        <v>15</v>
      </c>
      <c r="R16" s="12">
        <v>0.504</v>
      </c>
      <c r="S16" s="14"/>
      <c r="T16" s="14"/>
    </row>
    <row r="18" spans="1:20" ht="15" customHeight="1" x14ac:dyDescent="0.3">
      <c r="A18" s="11" t="s">
        <v>62</v>
      </c>
      <c r="B18" s="11" t="s">
        <v>63</v>
      </c>
      <c r="C18" s="11" t="s">
        <v>64</v>
      </c>
      <c r="D18" s="11" t="s">
        <v>65</v>
      </c>
      <c r="E18" s="11" t="s">
        <v>66</v>
      </c>
      <c r="F18" s="11" t="s">
        <v>67</v>
      </c>
      <c r="H18" s="11" t="s">
        <v>62</v>
      </c>
      <c r="I18" s="11" t="s">
        <v>63</v>
      </c>
      <c r="J18" s="11" t="s">
        <v>64</v>
      </c>
      <c r="K18" s="11" t="s">
        <v>65</v>
      </c>
      <c r="L18" s="11" t="s">
        <v>66</v>
      </c>
      <c r="M18" s="11" t="s">
        <v>67</v>
      </c>
      <c r="O18" s="11" t="s">
        <v>62</v>
      </c>
      <c r="P18" s="11" t="s">
        <v>63</v>
      </c>
      <c r="Q18" s="11" t="s">
        <v>64</v>
      </c>
      <c r="R18" s="11" t="s">
        <v>65</v>
      </c>
      <c r="S18" s="11" t="s">
        <v>66</v>
      </c>
      <c r="T18" s="11" t="s">
        <v>67</v>
      </c>
    </row>
    <row r="19" spans="1:20" ht="15" customHeight="1" x14ac:dyDescent="0.3">
      <c r="A19" s="15">
        <v>3.8</v>
      </c>
      <c r="B19" s="15">
        <v>3.2</v>
      </c>
      <c r="C19" s="13">
        <v>1</v>
      </c>
      <c r="D19" s="12">
        <v>0.48699999999999999</v>
      </c>
      <c r="E19" s="14">
        <f>AVERAGE(D19:D33)</f>
        <v>0.4788</v>
      </c>
      <c r="F19" s="14">
        <f>_xlfn.VAR.S(D19:D33)</f>
        <v>2.876474285714286E-2</v>
      </c>
      <c r="H19" s="15">
        <v>5.4</v>
      </c>
      <c r="I19" s="15">
        <v>2.8</v>
      </c>
      <c r="J19" s="13">
        <v>1</v>
      </c>
      <c r="K19" s="12">
        <v>6.7000000000000004E-2</v>
      </c>
      <c r="L19" s="14">
        <f>AVERAGE(K19:K33)</f>
        <v>3.0133333333333335E-2</v>
      </c>
      <c r="M19" s="14">
        <f>_xlfn.VAR.S(K19:K33)</f>
        <v>1.6601238095238096E-3</v>
      </c>
      <c r="O19" s="15">
        <v>5</v>
      </c>
      <c r="P19" s="15">
        <v>1.2</v>
      </c>
      <c r="Q19" s="13">
        <v>1</v>
      </c>
      <c r="R19" s="12">
        <v>0.255</v>
      </c>
      <c r="S19" s="14">
        <f>AVERAGE(R19:R33)</f>
        <v>0.36013333333333331</v>
      </c>
      <c r="T19" s="14">
        <f>_xlfn.VAR.S(R19:R33)</f>
        <v>2.5798380952381122E-3</v>
      </c>
    </row>
    <row r="20" spans="1:20" ht="15" customHeight="1" x14ac:dyDescent="0.3">
      <c r="A20" s="15"/>
      <c r="B20" s="15"/>
      <c r="C20" s="13">
        <v>2</v>
      </c>
      <c r="D20" s="12">
        <v>0.59399999999999997</v>
      </c>
      <c r="E20" s="14"/>
      <c r="F20" s="14"/>
      <c r="H20" s="15"/>
      <c r="I20" s="15"/>
      <c r="J20" s="13">
        <v>2</v>
      </c>
      <c r="K20" s="12">
        <v>2.5000000000000001E-2</v>
      </c>
      <c r="L20" s="14"/>
      <c r="M20" s="14"/>
      <c r="O20" s="15"/>
      <c r="P20" s="15"/>
      <c r="Q20" s="13">
        <v>2</v>
      </c>
      <c r="R20" s="12">
        <v>0.28199999999999997</v>
      </c>
      <c r="S20" s="14"/>
      <c r="T20" s="14"/>
    </row>
    <row r="21" spans="1:20" ht="15" customHeight="1" x14ac:dyDescent="0.3">
      <c r="A21" s="15"/>
      <c r="B21" s="15"/>
      <c r="C21" s="13">
        <v>3</v>
      </c>
      <c r="D21" s="12">
        <v>0.78800000000000003</v>
      </c>
      <c r="E21" s="14"/>
      <c r="F21" s="14"/>
      <c r="H21" s="15"/>
      <c r="I21" s="15"/>
      <c r="J21" s="13">
        <v>3</v>
      </c>
      <c r="K21" s="12">
        <v>8.5000000000000006E-2</v>
      </c>
      <c r="L21" s="14"/>
      <c r="M21" s="14"/>
      <c r="O21" s="15"/>
      <c r="P21" s="15"/>
      <c r="Q21" s="13">
        <v>3</v>
      </c>
      <c r="R21" s="12">
        <v>0.371</v>
      </c>
      <c r="S21" s="14"/>
      <c r="T21" s="14"/>
    </row>
    <row r="22" spans="1:20" ht="15" customHeight="1" x14ac:dyDescent="0.3">
      <c r="A22" s="15"/>
      <c r="B22" s="15"/>
      <c r="C22" s="13">
        <v>4</v>
      </c>
      <c r="D22" s="12">
        <v>0.68600000000000005</v>
      </c>
      <c r="E22" s="14"/>
      <c r="F22" s="14"/>
      <c r="H22" s="15"/>
      <c r="I22" s="15"/>
      <c r="J22" s="13">
        <v>4</v>
      </c>
      <c r="K22" s="12">
        <v>2.1999999999999999E-2</v>
      </c>
      <c r="L22" s="14"/>
      <c r="M22" s="14"/>
      <c r="O22" s="15"/>
      <c r="P22" s="15"/>
      <c r="Q22" s="13">
        <v>4</v>
      </c>
      <c r="R22" s="12">
        <v>0.36799999999999999</v>
      </c>
      <c r="S22" s="14"/>
      <c r="T22" s="14"/>
    </row>
    <row r="23" spans="1:20" ht="15" customHeight="1" x14ac:dyDescent="0.3">
      <c r="A23" s="15"/>
      <c r="B23" s="15"/>
      <c r="C23" s="13">
        <v>5</v>
      </c>
      <c r="D23" s="12">
        <v>0.61199999999999999</v>
      </c>
      <c r="E23" s="14"/>
      <c r="F23" s="14"/>
      <c r="H23" s="15"/>
      <c r="I23" s="15"/>
      <c r="J23" s="13">
        <v>5</v>
      </c>
      <c r="K23" s="12">
        <v>7.4999999999999997E-2</v>
      </c>
      <c r="L23" s="14"/>
      <c r="M23" s="14"/>
      <c r="O23" s="15"/>
      <c r="P23" s="15"/>
      <c r="Q23" s="13">
        <v>5</v>
      </c>
      <c r="R23" s="12">
        <v>0.41499999999999998</v>
      </c>
      <c r="S23" s="14"/>
      <c r="T23" s="14"/>
    </row>
    <row r="24" spans="1:20" ht="15" customHeight="1" x14ac:dyDescent="0.3">
      <c r="A24" s="15"/>
      <c r="B24" s="15"/>
      <c r="C24" s="13">
        <v>6</v>
      </c>
      <c r="D24" s="12">
        <v>0.48699999999999999</v>
      </c>
      <c r="E24" s="14"/>
      <c r="F24" s="14"/>
      <c r="H24" s="15"/>
      <c r="I24" s="15"/>
      <c r="J24" s="13">
        <v>6</v>
      </c>
      <c r="K24" s="12">
        <v>0</v>
      </c>
      <c r="L24" s="14"/>
      <c r="M24" s="14"/>
      <c r="O24" s="15"/>
      <c r="P24" s="15"/>
      <c r="Q24" s="13">
        <v>6</v>
      </c>
      <c r="R24" s="12">
        <v>0.438</v>
      </c>
      <c r="S24" s="14"/>
      <c r="T24" s="14"/>
    </row>
    <row r="25" spans="1:20" ht="15" customHeight="1" x14ac:dyDescent="0.3">
      <c r="A25" s="15"/>
      <c r="B25" s="15"/>
      <c r="C25" s="13">
        <v>7</v>
      </c>
      <c r="D25" s="12">
        <v>0.308</v>
      </c>
      <c r="E25" s="14"/>
      <c r="F25" s="14"/>
      <c r="H25" s="15"/>
      <c r="I25" s="15"/>
      <c r="J25" s="13">
        <v>7</v>
      </c>
      <c r="K25" s="12">
        <v>0</v>
      </c>
      <c r="L25" s="14"/>
      <c r="M25" s="14"/>
      <c r="O25" s="15"/>
      <c r="P25" s="15"/>
      <c r="Q25" s="13">
        <v>7</v>
      </c>
      <c r="R25" s="12">
        <v>0.38</v>
      </c>
      <c r="S25" s="14"/>
      <c r="T25" s="14"/>
    </row>
    <row r="26" spans="1:20" ht="15" customHeight="1" x14ac:dyDescent="0.3">
      <c r="A26" s="15"/>
      <c r="B26" s="15"/>
      <c r="C26" s="13">
        <v>8</v>
      </c>
      <c r="D26" s="12">
        <v>0.72599999999999998</v>
      </c>
      <c r="E26" s="14"/>
      <c r="F26" s="14"/>
      <c r="H26" s="15"/>
      <c r="I26" s="15"/>
      <c r="J26" s="13">
        <v>8</v>
      </c>
      <c r="K26" s="12">
        <v>1.9E-2</v>
      </c>
      <c r="L26" s="14"/>
      <c r="M26" s="14"/>
      <c r="O26" s="15"/>
      <c r="P26" s="15"/>
      <c r="Q26" s="13">
        <v>8</v>
      </c>
      <c r="R26" s="12">
        <v>0.41199999999999998</v>
      </c>
      <c r="S26" s="14"/>
      <c r="T26" s="14"/>
    </row>
    <row r="27" spans="1:20" ht="15" customHeight="1" x14ac:dyDescent="0.3">
      <c r="A27" s="15"/>
      <c r="B27" s="15"/>
      <c r="C27" s="13">
        <v>9</v>
      </c>
      <c r="D27" s="12">
        <v>0.35</v>
      </c>
      <c r="E27" s="14"/>
      <c r="F27" s="14"/>
      <c r="H27" s="15"/>
      <c r="I27" s="15"/>
      <c r="J27" s="13">
        <v>9</v>
      </c>
      <c r="K27" s="12">
        <v>0.13200000000000001</v>
      </c>
      <c r="L27" s="14"/>
      <c r="M27" s="14"/>
      <c r="O27" s="15"/>
      <c r="P27" s="15"/>
      <c r="Q27" s="13">
        <v>9</v>
      </c>
      <c r="R27" s="12">
        <v>0.36799999999999999</v>
      </c>
      <c r="S27" s="14"/>
      <c r="T27" s="14"/>
    </row>
    <row r="28" spans="1:20" ht="15" customHeight="1" x14ac:dyDescent="0.3">
      <c r="A28" s="15"/>
      <c r="B28" s="15"/>
      <c r="C28" s="13">
        <v>10</v>
      </c>
      <c r="D28" s="12">
        <v>0.39100000000000001</v>
      </c>
      <c r="E28" s="14"/>
      <c r="F28" s="14"/>
      <c r="H28" s="15"/>
      <c r="I28" s="15"/>
      <c r="J28" s="13">
        <v>10</v>
      </c>
      <c r="K28" s="12">
        <v>0</v>
      </c>
      <c r="L28" s="14"/>
      <c r="M28" s="14"/>
      <c r="O28" s="15"/>
      <c r="P28" s="15"/>
      <c r="Q28" s="13">
        <v>10</v>
      </c>
      <c r="R28" s="12">
        <v>0.38500000000000001</v>
      </c>
      <c r="S28" s="14"/>
      <c r="T28" s="14"/>
    </row>
    <row r="29" spans="1:20" ht="15" customHeight="1" x14ac:dyDescent="0.3">
      <c r="A29" s="15"/>
      <c r="B29" s="15"/>
      <c r="C29" s="13">
        <v>11</v>
      </c>
      <c r="D29" s="12">
        <v>0.32800000000000001</v>
      </c>
      <c r="E29" s="14"/>
      <c r="F29" s="14"/>
      <c r="H29" s="15"/>
      <c r="I29" s="15"/>
      <c r="J29" s="13">
        <v>11</v>
      </c>
      <c r="K29" s="12">
        <v>2.5000000000000001E-2</v>
      </c>
      <c r="L29" s="14"/>
      <c r="M29" s="14"/>
      <c r="O29" s="15"/>
      <c r="P29" s="15"/>
      <c r="Q29" s="13">
        <v>11</v>
      </c>
      <c r="R29" s="12">
        <v>0.36</v>
      </c>
      <c r="S29" s="14"/>
      <c r="T29" s="14"/>
    </row>
    <row r="30" spans="1:20" ht="15" customHeight="1" x14ac:dyDescent="0.3">
      <c r="A30" s="15"/>
      <c r="B30" s="15"/>
      <c r="C30" s="13">
        <v>12</v>
      </c>
      <c r="D30" s="12">
        <v>0.25800000000000001</v>
      </c>
      <c r="E30" s="14"/>
      <c r="F30" s="14"/>
      <c r="H30" s="15"/>
      <c r="I30" s="15"/>
      <c r="J30" s="13">
        <v>12</v>
      </c>
      <c r="K30" s="12">
        <v>2E-3</v>
      </c>
      <c r="L30" s="14"/>
      <c r="M30" s="14"/>
      <c r="O30" s="15"/>
      <c r="P30" s="15"/>
      <c r="Q30" s="13">
        <v>12</v>
      </c>
      <c r="R30" s="12">
        <v>0.34799999999999998</v>
      </c>
      <c r="S30" s="14"/>
      <c r="T30" s="14"/>
    </row>
    <row r="31" spans="1:20" ht="15" customHeight="1" x14ac:dyDescent="0.3">
      <c r="A31" s="15"/>
      <c r="B31" s="15"/>
      <c r="C31" s="13">
        <v>13</v>
      </c>
      <c r="D31" s="12">
        <v>0.49199999999999999</v>
      </c>
      <c r="E31" s="14"/>
      <c r="F31" s="14"/>
      <c r="H31" s="15"/>
      <c r="I31" s="15"/>
      <c r="J31" s="13">
        <v>13</v>
      </c>
      <c r="K31" s="12">
        <v>0</v>
      </c>
      <c r="L31" s="14"/>
      <c r="M31" s="14"/>
      <c r="O31" s="15"/>
      <c r="P31" s="15"/>
      <c r="Q31" s="13">
        <v>13</v>
      </c>
      <c r="R31" s="12">
        <v>0.28499999999999998</v>
      </c>
      <c r="S31" s="14"/>
      <c r="T31" s="14"/>
    </row>
    <row r="32" spans="1:20" ht="15" customHeight="1" x14ac:dyDescent="0.3">
      <c r="A32" s="15"/>
      <c r="B32" s="15"/>
      <c r="C32" s="13">
        <v>14</v>
      </c>
      <c r="D32" s="12">
        <v>0.39600000000000002</v>
      </c>
      <c r="E32" s="14"/>
      <c r="F32" s="14"/>
      <c r="H32" s="15"/>
      <c r="I32" s="15"/>
      <c r="J32" s="13">
        <v>14</v>
      </c>
      <c r="K32" s="12">
        <v>0</v>
      </c>
      <c r="L32" s="14"/>
      <c r="M32" s="14"/>
      <c r="O32" s="15"/>
      <c r="P32" s="15"/>
      <c r="Q32" s="13">
        <v>14</v>
      </c>
      <c r="R32" s="12">
        <v>0.372</v>
      </c>
      <c r="S32" s="14"/>
      <c r="T32" s="14"/>
    </row>
    <row r="33" spans="1:20" ht="15" customHeight="1" x14ac:dyDescent="0.3">
      <c r="A33" s="15"/>
      <c r="B33" s="15"/>
      <c r="C33" s="13">
        <v>15</v>
      </c>
      <c r="D33" s="12">
        <v>0.27900000000000003</v>
      </c>
      <c r="E33" s="14"/>
      <c r="F33" s="14"/>
      <c r="H33" s="15"/>
      <c r="I33" s="15"/>
      <c r="J33" s="13">
        <v>15</v>
      </c>
      <c r="K33" s="12">
        <v>0</v>
      </c>
      <c r="L33" s="14"/>
      <c r="M33" s="14"/>
      <c r="O33" s="15"/>
      <c r="P33" s="15"/>
      <c r="Q33" s="13">
        <v>15</v>
      </c>
      <c r="R33" s="12">
        <v>0.36299999999999999</v>
      </c>
      <c r="S33" s="14"/>
      <c r="T33" s="14"/>
    </row>
  </sheetData>
  <mergeCells count="24">
    <mergeCell ref="T19:T33"/>
    <mergeCell ref="A19:A33"/>
    <mergeCell ref="B19:B33"/>
    <mergeCell ref="E19:E33"/>
    <mergeCell ref="F19:F33"/>
    <mergeCell ref="H19:H33"/>
    <mergeCell ref="I19:I33"/>
    <mergeCell ref="L19:L33"/>
    <mergeCell ref="M19:M33"/>
    <mergeCell ref="O19:O33"/>
    <mergeCell ref="P19:P33"/>
    <mergeCell ref="S19:S33"/>
    <mergeCell ref="T2:T16"/>
    <mergeCell ref="A2:A16"/>
    <mergeCell ref="B2:B16"/>
    <mergeCell ref="E2:E16"/>
    <mergeCell ref="F2:F16"/>
    <mergeCell ref="H2:H16"/>
    <mergeCell ref="I2:I16"/>
    <mergeCell ref="L2:L16"/>
    <mergeCell ref="M2:M16"/>
    <mergeCell ref="O2:O16"/>
    <mergeCell ref="P2:P16"/>
    <mergeCell ref="S2:S16"/>
  </mergeCells>
  <phoneticPr fontId="1" type="noConversion"/>
  <conditionalFormatting sqref="D2:D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D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6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1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3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BF751-22BF-47D4-879F-C9A54825C353}">
  <dimension ref="A1:T35"/>
  <sheetViews>
    <sheetView zoomScale="85" zoomScaleNormal="85" workbookViewId="0">
      <selection activeCell="F2" sqref="F2:F16"/>
    </sheetView>
  </sheetViews>
  <sheetFormatPr defaultColWidth="10.75" defaultRowHeight="15" customHeight="1" x14ac:dyDescent="0.3"/>
  <cols>
    <col min="1" max="16384" width="10.75" style="10"/>
  </cols>
  <sheetData>
    <row r="1" spans="1:20" ht="15" customHeight="1" x14ac:dyDescent="0.3">
      <c r="A1" s="11" t="s">
        <v>62</v>
      </c>
      <c r="B1" s="11" t="s">
        <v>63</v>
      </c>
      <c r="C1" s="11" t="s">
        <v>64</v>
      </c>
      <c r="D1" s="11" t="s">
        <v>65</v>
      </c>
      <c r="E1" s="11" t="s">
        <v>66</v>
      </c>
      <c r="F1" s="11" t="s">
        <v>67</v>
      </c>
      <c r="H1" s="11" t="s">
        <v>62</v>
      </c>
      <c r="I1" s="11" t="s">
        <v>63</v>
      </c>
      <c r="J1" s="11" t="s">
        <v>64</v>
      </c>
      <c r="K1" s="11" t="s">
        <v>65</v>
      </c>
      <c r="L1" s="11" t="s">
        <v>66</v>
      </c>
      <c r="M1" s="11" t="s">
        <v>67</v>
      </c>
      <c r="O1" s="11" t="s">
        <v>62</v>
      </c>
      <c r="P1" s="11" t="s">
        <v>63</v>
      </c>
      <c r="Q1" s="11" t="s">
        <v>64</v>
      </c>
      <c r="R1" s="11" t="s">
        <v>65</v>
      </c>
      <c r="S1" s="11" t="s">
        <v>66</v>
      </c>
      <c r="T1" s="11" t="s">
        <v>67</v>
      </c>
    </row>
    <row r="2" spans="1:20" ht="15" customHeight="1" x14ac:dyDescent="0.3">
      <c r="A2" s="15">
        <v>4.5999999999999996</v>
      </c>
      <c r="B2" s="15">
        <v>2.4</v>
      </c>
      <c r="C2" s="13">
        <v>1</v>
      </c>
      <c r="D2" s="12">
        <v>3.37</v>
      </c>
      <c r="E2" s="14">
        <f>AVERAGE(D2:D16)</f>
        <v>2.7865333333333329</v>
      </c>
      <c r="F2" s="14">
        <f>_xlfn.VAR.S(D2:D16)</f>
        <v>0.19279955238095425</v>
      </c>
      <c r="H2" s="15">
        <v>3.8</v>
      </c>
      <c r="I2" s="15">
        <v>2.4</v>
      </c>
      <c r="J2" s="13">
        <v>1</v>
      </c>
      <c r="K2" s="12">
        <v>2.9540000000000002</v>
      </c>
      <c r="L2" s="14">
        <f>AVERAGE(K2:K16)</f>
        <v>2.8739333333333335</v>
      </c>
      <c r="M2" s="14">
        <f>_xlfn.VAR.S(K2:K16)</f>
        <v>6.4861495238095243E-2</v>
      </c>
      <c r="O2" s="15">
        <v>4.2</v>
      </c>
      <c r="P2" s="15">
        <v>1.6</v>
      </c>
      <c r="Q2" s="13">
        <v>1</v>
      </c>
      <c r="R2" s="12">
        <v>0.17499999999999999</v>
      </c>
      <c r="S2" s="14">
        <f>AVERAGE(R2:R16)</f>
        <v>0.2133333333333334</v>
      </c>
      <c r="T2" s="14">
        <f>_xlfn.VAR.S(R2:R16)</f>
        <v>1.0550238095238054E-2</v>
      </c>
    </row>
    <row r="3" spans="1:20" ht="15" customHeight="1" x14ac:dyDescent="0.3">
      <c r="A3" s="15"/>
      <c r="B3" s="15"/>
      <c r="C3" s="13">
        <v>2</v>
      </c>
      <c r="D3" s="12">
        <v>2.1059999999999999</v>
      </c>
      <c r="E3" s="14"/>
      <c r="F3" s="14"/>
      <c r="H3" s="15"/>
      <c r="I3" s="15"/>
      <c r="J3" s="13">
        <v>2</v>
      </c>
      <c r="K3" s="12">
        <v>2.7709999999999999</v>
      </c>
      <c r="L3" s="14"/>
      <c r="M3" s="14"/>
      <c r="O3" s="15"/>
      <c r="P3" s="15"/>
      <c r="Q3" s="13">
        <v>2</v>
      </c>
      <c r="R3" s="12">
        <v>0.13700000000000001</v>
      </c>
      <c r="S3" s="14"/>
      <c r="T3" s="14"/>
    </row>
    <row r="4" spans="1:20" ht="15" customHeight="1" x14ac:dyDescent="0.3">
      <c r="A4" s="15"/>
      <c r="B4" s="15"/>
      <c r="C4" s="13">
        <v>3</v>
      </c>
      <c r="D4" s="12">
        <v>3.2130000000000001</v>
      </c>
      <c r="E4" s="14"/>
      <c r="F4" s="14"/>
      <c r="H4" s="15"/>
      <c r="I4" s="15"/>
      <c r="J4" s="13">
        <v>3</v>
      </c>
      <c r="K4" s="12">
        <v>3.298</v>
      </c>
      <c r="L4" s="14"/>
      <c r="M4" s="14"/>
      <c r="O4" s="15"/>
      <c r="P4" s="15"/>
      <c r="Q4" s="13">
        <v>3</v>
      </c>
      <c r="R4" s="12">
        <v>0.30499999999999999</v>
      </c>
      <c r="S4" s="14"/>
      <c r="T4" s="14"/>
    </row>
    <row r="5" spans="1:20" ht="15" customHeight="1" x14ac:dyDescent="0.3">
      <c r="A5" s="15"/>
      <c r="B5" s="15"/>
      <c r="C5" s="13">
        <v>4</v>
      </c>
      <c r="D5" s="12">
        <v>2.198</v>
      </c>
      <c r="E5" s="14"/>
      <c r="F5" s="14"/>
      <c r="H5" s="15"/>
      <c r="I5" s="15"/>
      <c r="J5" s="13">
        <v>4</v>
      </c>
      <c r="K5" s="12">
        <v>2.5049999999999999</v>
      </c>
      <c r="L5" s="14"/>
      <c r="M5" s="14"/>
      <c r="O5" s="15"/>
      <c r="P5" s="15"/>
      <c r="Q5" s="13">
        <v>4</v>
      </c>
      <c r="R5" s="12">
        <v>0.20599999999999999</v>
      </c>
      <c r="S5" s="14"/>
      <c r="T5" s="14"/>
    </row>
    <row r="6" spans="1:20" ht="15" customHeight="1" x14ac:dyDescent="0.3">
      <c r="A6" s="15"/>
      <c r="B6" s="15"/>
      <c r="C6" s="13">
        <v>5</v>
      </c>
      <c r="D6" s="12">
        <v>2.9289999999999998</v>
      </c>
      <c r="E6" s="14"/>
      <c r="F6" s="14"/>
      <c r="H6" s="15"/>
      <c r="I6" s="15"/>
      <c r="J6" s="13">
        <v>5</v>
      </c>
      <c r="K6" s="12">
        <v>2.7589999999999999</v>
      </c>
      <c r="L6" s="14"/>
      <c r="M6" s="14"/>
      <c r="O6" s="15"/>
      <c r="P6" s="15"/>
      <c r="Q6" s="13">
        <v>5</v>
      </c>
      <c r="R6" s="12">
        <v>0.13400000000000001</v>
      </c>
      <c r="S6" s="14"/>
      <c r="T6" s="14"/>
    </row>
    <row r="7" spans="1:20" ht="15" customHeight="1" x14ac:dyDescent="0.3">
      <c r="A7" s="15"/>
      <c r="B7" s="15"/>
      <c r="C7" s="13">
        <v>6</v>
      </c>
      <c r="D7" s="12">
        <v>3.2130000000000001</v>
      </c>
      <c r="E7" s="14"/>
      <c r="F7" s="14"/>
      <c r="H7" s="15"/>
      <c r="I7" s="15"/>
      <c r="J7" s="13">
        <v>6</v>
      </c>
      <c r="K7" s="12">
        <v>3.0979999999999999</v>
      </c>
      <c r="L7" s="14"/>
      <c r="M7" s="14"/>
      <c r="O7" s="15"/>
      <c r="P7" s="15"/>
      <c r="Q7" s="13">
        <v>6</v>
      </c>
      <c r="R7" s="12">
        <v>0.23599999999999999</v>
      </c>
      <c r="S7" s="14"/>
      <c r="T7" s="14"/>
    </row>
    <row r="8" spans="1:20" ht="15" customHeight="1" x14ac:dyDescent="0.3">
      <c r="A8" s="15"/>
      <c r="B8" s="15"/>
      <c r="C8" s="13">
        <v>7</v>
      </c>
      <c r="D8" s="12">
        <v>2.806</v>
      </c>
      <c r="E8" s="14"/>
      <c r="F8" s="14"/>
      <c r="H8" s="15"/>
      <c r="I8" s="15"/>
      <c r="J8" s="13">
        <v>7</v>
      </c>
      <c r="K8" s="12">
        <v>3.1829999999999998</v>
      </c>
      <c r="L8" s="14"/>
      <c r="M8" s="14"/>
      <c r="O8" s="15"/>
      <c r="P8" s="15"/>
      <c r="Q8" s="13">
        <v>7</v>
      </c>
      <c r="R8" s="12">
        <v>0.125</v>
      </c>
      <c r="S8" s="14"/>
      <c r="T8" s="14"/>
    </row>
    <row r="9" spans="1:20" ht="15" customHeight="1" x14ac:dyDescent="0.3">
      <c r="A9" s="15"/>
      <c r="B9" s="15"/>
      <c r="C9" s="13">
        <v>8</v>
      </c>
      <c r="D9" s="12">
        <v>2.891</v>
      </c>
      <c r="E9" s="14"/>
      <c r="F9" s="14"/>
      <c r="H9" s="15"/>
      <c r="I9" s="15"/>
      <c r="J9" s="13">
        <v>8</v>
      </c>
      <c r="K9" s="12">
        <v>2.9460000000000002</v>
      </c>
      <c r="L9" s="14"/>
      <c r="M9" s="14"/>
      <c r="O9" s="15"/>
      <c r="P9" s="15"/>
      <c r="Q9" s="13">
        <v>8</v>
      </c>
      <c r="R9" s="12">
        <v>0.47499999999999998</v>
      </c>
      <c r="S9" s="14"/>
      <c r="T9" s="14"/>
    </row>
    <row r="10" spans="1:20" ht="15" customHeight="1" x14ac:dyDescent="0.3">
      <c r="A10" s="15"/>
      <c r="B10" s="15"/>
      <c r="C10" s="13">
        <v>9</v>
      </c>
      <c r="D10" s="12">
        <v>2.177</v>
      </c>
      <c r="E10" s="14"/>
      <c r="F10" s="14"/>
      <c r="H10" s="15"/>
      <c r="I10" s="15"/>
      <c r="J10" s="13">
        <v>9</v>
      </c>
      <c r="K10" s="12">
        <v>2.9580000000000002</v>
      </c>
      <c r="L10" s="14"/>
      <c r="M10" s="14"/>
      <c r="O10" s="15"/>
      <c r="P10" s="15"/>
      <c r="Q10" s="13">
        <v>9</v>
      </c>
      <c r="R10" s="12">
        <v>0.23300000000000001</v>
      </c>
      <c r="S10" s="14"/>
      <c r="T10" s="14"/>
    </row>
    <row r="11" spans="1:20" ht="15" customHeight="1" x14ac:dyDescent="0.3">
      <c r="A11" s="15"/>
      <c r="B11" s="15"/>
      <c r="C11" s="13">
        <v>10</v>
      </c>
      <c r="D11" s="12">
        <v>2.95</v>
      </c>
      <c r="E11" s="14"/>
      <c r="F11" s="14"/>
      <c r="H11" s="15"/>
      <c r="I11" s="15"/>
      <c r="J11" s="13">
        <v>10</v>
      </c>
      <c r="K11" s="12">
        <v>2.4489999999999998</v>
      </c>
      <c r="L11" s="14"/>
      <c r="M11" s="14"/>
      <c r="O11" s="15"/>
      <c r="P11" s="15"/>
      <c r="Q11" s="13">
        <v>10</v>
      </c>
      <c r="R11" s="12">
        <v>6.4000000000000001E-2</v>
      </c>
      <c r="S11" s="14"/>
      <c r="T11" s="14"/>
    </row>
    <row r="12" spans="1:20" ht="15" customHeight="1" x14ac:dyDescent="0.3">
      <c r="A12" s="15"/>
      <c r="B12" s="15"/>
      <c r="C12" s="13">
        <v>11</v>
      </c>
      <c r="D12" s="12">
        <v>2.9039999999999999</v>
      </c>
      <c r="E12" s="14"/>
      <c r="F12" s="14"/>
      <c r="H12" s="15"/>
      <c r="I12" s="15"/>
      <c r="J12" s="13">
        <v>11</v>
      </c>
      <c r="K12" s="12">
        <v>2.6920000000000002</v>
      </c>
      <c r="L12" s="14"/>
      <c r="M12" s="14"/>
      <c r="O12" s="15"/>
      <c r="P12" s="15"/>
      <c r="Q12" s="13">
        <v>11</v>
      </c>
      <c r="R12" s="12">
        <v>0.12</v>
      </c>
      <c r="S12" s="14"/>
      <c r="T12" s="14"/>
    </row>
    <row r="13" spans="1:20" ht="15" customHeight="1" x14ac:dyDescent="0.3">
      <c r="A13" s="15"/>
      <c r="B13" s="15"/>
      <c r="C13" s="13">
        <v>12</v>
      </c>
      <c r="D13" s="12">
        <v>2.968</v>
      </c>
      <c r="E13" s="14"/>
      <c r="F13" s="14"/>
      <c r="H13" s="15"/>
      <c r="I13" s="15"/>
      <c r="J13" s="13">
        <v>12</v>
      </c>
      <c r="K13" s="12">
        <v>2.7930000000000001</v>
      </c>
      <c r="L13" s="14"/>
      <c r="M13" s="14"/>
      <c r="O13" s="15"/>
      <c r="P13" s="15"/>
      <c r="Q13" s="13">
        <v>12</v>
      </c>
      <c r="R13" s="12">
        <v>0.34200000000000003</v>
      </c>
      <c r="S13" s="14"/>
      <c r="T13" s="14"/>
    </row>
    <row r="14" spans="1:20" ht="15" customHeight="1" x14ac:dyDescent="0.3">
      <c r="A14" s="15"/>
      <c r="B14" s="15"/>
      <c r="C14" s="13">
        <v>13</v>
      </c>
      <c r="D14" s="12">
        <v>2.25</v>
      </c>
      <c r="E14" s="14"/>
      <c r="F14" s="14"/>
      <c r="H14" s="15"/>
      <c r="I14" s="15"/>
      <c r="J14" s="13">
        <v>13</v>
      </c>
      <c r="K14" s="12">
        <v>2.6749999999999998</v>
      </c>
      <c r="L14" s="14"/>
      <c r="M14" s="14"/>
      <c r="O14" s="15"/>
      <c r="P14" s="15"/>
      <c r="Q14" s="13">
        <v>13</v>
      </c>
      <c r="R14" s="12">
        <v>0.192</v>
      </c>
      <c r="S14" s="14"/>
      <c r="T14" s="14"/>
    </row>
    <row r="15" spans="1:20" ht="15" customHeight="1" x14ac:dyDescent="0.3">
      <c r="A15" s="15"/>
      <c r="B15" s="15"/>
      <c r="C15" s="13">
        <v>14</v>
      </c>
      <c r="D15" s="12">
        <v>3.3530000000000002</v>
      </c>
      <c r="E15" s="14"/>
      <c r="F15" s="14"/>
      <c r="H15" s="15"/>
      <c r="I15" s="15"/>
      <c r="J15" s="13">
        <v>14</v>
      </c>
      <c r="K15" s="12">
        <v>2.7850000000000001</v>
      </c>
      <c r="L15" s="14"/>
      <c r="M15" s="14"/>
      <c r="O15" s="15"/>
      <c r="P15" s="15"/>
      <c r="Q15" s="13">
        <v>14</v>
      </c>
      <c r="R15" s="12">
        <v>0.224</v>
      </c>
      <c r="S15" s="14"/>
      <c r="T15" s="14"/>
    </row>
    <row r="16" spans="1:20" ht="15" customHeight="1" x14ac:dyDescent="0.3">
      <c r="A16" s="15"/>
      <c r="B16" s="15"/>
      <c r="C16" s="13">
        <v>15</v>
      </c>
      <c r="D16" s="12">
        <v>2.4700000000000002</v>
      </c>
      <c r="E16" s="14"/>
      <c r="F16" s="14"/>
      <c r="H16" s="15"/>
      <c r="I16" s="15"/>
      <c r="J16" s="13">
        <v>15</v>
      </c>
      <c r="K16" s="12">
        <v>3.2429999999999999</v>
      </c>
      <c r="L16" s="14"/>
      <c r="M16" s="14"/>
      <c r="O16" s="15"/>
      <c r="P16" s="15"/>
      <c r="Q16" s="13">
        <v>15</v>
      </c>
      <c r="R16" s="12">
        <v>0.23200000000000001</v>
      </c>
      <c r="S16" s="14"/>
      <c r="T16" s="14"/>
    </row>
    <row r="18" spans="1:20" ht="15" customHeight="1" x14ac:dyDescent="0.3">
      <c r="A18" s="11" t="s">
        <v>62</v>
      </c>
      <c r="B18" s="11" t="s">
        <v>63</v>
      </c>
      <c r="C18" s="11" t="s">
        <v>64</v>
      </c>
      <c r="D18" s="11" t="s">
        <v>65</v>
      </c>
      <c r="E18" s="11" t="s">
        <v>66</v>
      </c>
      <c r="F18" s="11" t="s">
        <v>67</v>
      </c>
      <c r="H18" s="11" t="s">
        <v>62</v>
      </c>
      <c r="I18" s="11" t="s">
        <v>63</v>
      </c>
      <c r="J18" s="11" t="s">
        <v>64</v>
      </c>
      <c r="K18" s="11" t="s">
        <v>65</v>
      </c>
      <c r="L18" s="11" t="s">
        <v>66</v>
      </c>
      <c r="M18" s="11" t="s">
        <v>67</v>
      </c>
      <c r="O18" s="11" t="s">
        <v>62</v>
      </c>
      <c r="P18" s="11" t="s">
        <v>63</v>
      </c>
      <c r="Q18" s="11" t="s">
        <v>64</v>
      </c>
      <c r="R18" s="11" t="s">
        <v>65</v>
      </c>
      <c r="S18" s="11" t="s">
        <v>66</v>
      </c>
      <c r="T18" s="11" t="s">
        <v>67</v>
      </c>
    </row>
    <row r="19" spans="1:20" ht="15" customHeight="1" x14ac:dyDescent="0.3">
      <c r="A19" s="15">
        <v>3.8</v>
      </c>
      <c r="B19" s="15">
        <v>3.2</v>
      </c>
      <c r="C19" s="13">
        <v>1</v>
      </c>
      <c r="D19" s="12">
        <v>0.246</v>
      </c>
      <c r="E19" s="14">
        <f>AVERAGE(D19:D33)</f>
        <v>0.39686666666666676</v>
      </c>
      <c r="F19" s="14">
        <f>_xlfn.VAR.S(D19:D33)</f>
        <v>1.6666552380952288E-2</v>
      </c>
      <c r="H19" s="15">
        <v>5.4</v>
      </c>
      <c r="I19" s="15">
        <v>2.8</v>
      </c>
      <c r="J19" s="13">
        <v>1</v>
      </c>
      <c r="K19" s="12">
        <v>8.5000000000000006E-2</v>
      </c>
      <c r="L19" s="14">
        <f>AVERAGE(K19:K33)</f>
        <v>2.246666666666667E-2</v>
      </c>
      <c r="M19" s="14">
        <f>_xlfn.VAR.S(K19:K33)</f>
        <v>1.2426952380952384E-3</v>
      </c>
      <c r="O19" s="15">
        <v>5</v>
      </c>
      <c r="P19" s="15">
        <v>1.2</v>
      </c>
      <c r="Q19" s="13">
        <v>1</v>
      </c>
      <c r="R19" s="12">
        <v>0</v>
      </c>
      <c r="S19" s="14">
        <f>AVERAGE(R19:R33)</f>
        <v>0.1544666666666667</v>
      </c>
      <c r="T19" s="14">
        <f>_xlfn.VAR.S(R19:R33)</f>
        <v>1.0279409523809509E-2</v>
      </c>
    </row>
    <row r="20" spans="1:20" ht="15" customHeight="1" x14ac:dyDescent="0.3">
      <c r="A20" s="15"/>
      <c r="B20" s="15"/>
      <c r="C20" s="13">
        <v>2</v>
      </c>
      <c r="D20" s="12">
        <v>0.438</v>
      </c>
      <c r="E20" s="14"/>
      <c r="F20" s="14"/>
      <c r="H20" s="15"/>
      <c r="I20" s="15"/>
      <c r="J20" s="13">
        <v>2</v>
      </c>
      <c r="K20" s="12">
        <v>0.03</v>
      </c>
      <c r="L20" s="14"/>
      <c r="M20" s="14"/>
      <c r="O20" s="15"/>
      <c r="P20" s="15"/>
      <c r="Q20" s="13">
        <v>2</v>
      </c>
      <c r="R20" s="12">
        <v>0</v>
      </c>
      <c r="S20" s="14"/>
      <c r="T20" s="14"/>
    </row>
    <row r="21" spans="1:20" ht="15" customHeight="1" x14ac:dyDescent="0.3">
      <c r="A21" s="15"/>
      <c r="B21" s="15"/>
      <c r="C21" s="13">
        <v>3</v>
      </c>
      <c r="D21" s="12">
        <v>0.622</v>
      </c>
      <c r="E21" s="14"/>
      <c r="F21" s="14"/>
      <c r="H21" s="15"/>
      <c r="I21" s="15"/>
      <c r="J21" s="13">
        <v>3</v>
      </c>
      <c r="K21" s="12">
        <v>0</v>
      </c>
      <c r="L21" s="14"/>
      <c r="M21" s="14"/>
      <c r="O21" s="15"/>
      <c r="P21" s="15"/>
      <c r="Q21" s="13">
        <v>3</v>
      </c>
      <c r="R21" s="12">
        <v>0.108</v>
      </c>
      <c r="S21" s="14"/>
      <c r="T21" s="14"/>
    </row>
    <row r="22" spans="1:20" ht="15" customHeight="1" x14ac:dyDescent="0.3">
      <c r="A22" s="15"/>
      <c r="B22" s="15"/>
      <c r="C22" s="13">
        <v>4</v>
      </c>
      <c r="D22" s="12">
        <v>0.56499999999999995</v>
      </c>
      <c r="E22" s="14"/>
      <c r="F22" s="14"/>
      <c r="H22" s="15"/>
      <c r="I22" s="15"/>
      <c r="J22" s="13">
        <v>4</v>
      </c>
      <c r="K22" s="12">
        <v>0</v>
      </c>
      <c r="L22" s="14"/>
      <c r="M22" s="14"/>
      <c r="O22" s="15"/>
      <c r="P22" s="15"/>
      <c r="Q22" s="13">
        <v>4</v>
      </c>
      <c r="R22" s="12">
        <v>0.24399999999999999</v>
      </c>
      <c r="S22" s="14"/>
      <c r="T22" s="14"/>
    </row>
    <row r="23" spans="1:20" ht="15" customHeight="1" x14ac:dyDescent="0.3">
      <c r="A23" s="15"/>
      <c r="B23" s="15"/>
      <c r="C23" s="13">
        <v>5</v>
      </c>
      <c r="D23" s="12">
        <v>0.55300000000000005</v>
      </c>
      <c r="E23" s="14"/>
      <c r="F23" s="14"/>
      <c r="H23" s="15"/>
      <c r="I23" s="15"/>
      <c r="J23" s="13">
        <v>5</v>
      </c>
      <c r="K23" s="12">
        <v>0</v>
      </c>
      <c r="L23" s="14"/>
      <c r="M23" s="14"/>
      <c r="O23" s="15"/>
      <c r="P23" s="15"/>
      <c r="Q23" s="13">
        <v>5</v>
      </c>
      <c r="R23" s="12">
        <v>0.30099999999999999</v>
      </c>
      <c r="S23" s="14"/>
      <c r="T23" s="14"/>
    </row>
    <row r="24" spans="1:20" ht="15" customHeight="1" x14ac:dyDescent="0.3">
      <c r="A24" s="15"/>
      <c r="B24" s="15"/>
      <c r="C24" s="13">
        <v>6</v>
      </c>
      <c r="D24" s="12">
        <v>0.35</v>
      </c>
      <c r="E24" s="14"/>
      <c r="F24" s="14"/>
      <c r="H24" s="15"/>
      <c r="I24" s="15"/>
      <c r="J24" s="13">
        <v>6</v>
      </c>
      <c r="K24" s="12">
        <v>0</v>
      </c>
      <c r="L24" s="14"/>
      <c r="M24" s="14"/>
      <c r="O24" s="15"/>
      <c r="P24" s="15"/>
      <c r="Q24" s="13">
        <v>6</v>
      </c>
      <c r="R24" s="12">
        <v>0.27100000000000002</v>
      </c>
      <c r="S24" s="14"/>
      <c r="T24" s="14"/>
    </row>
    <row r="25" spans="1:20" ht="15" customHeight="1" x14ac:dyDescent="0.3">
      <c r="A25" s="15"/>
      <c r="B25" s="15"/>
      <c r="C25" s="13">
        <v>7</v>
      </c>
      <c r="D25" s="12">
        <v>0.22500000000000001</v>
      </c>
      <c r="E25" s="14"/>
      <c r="F25" s="14"/>
      <c r="H25" s="15"/>
      <c r="I25" s="15"/>
      <c r="J25" s="13">
        <v>7</v>
      </c>
      <c r="K25" s="12">
        <v>0</v>
      </c>
      <c r="L25" s="14"/>
      <c r="M25" s="14"/>
      <c r="O25" s="15"/>
      <c r="P25" s="15"/>
      <c r="Q25" s="13">
        <v>7</v>
      </c>
      <c r="R25" s="12">
        <v>0.28199999999999997</v>
      </c>
      <c r="S25" s="14"/>
      <c r="T25" s="14"/>
    </row>
    <row r="26" spans="1:20" ht="15" customHeight="1" x14ac:dyDescent="0.3">
      <c r="A26" s="15"/>
      <c r="B26" s="15"/>
      <c r="C26" s="13">
        <v>8</v>
      </c>
      <c r="D26" s="12">
        <v>0.40100000000000002</v>
      </c>
      <c r="E26" s="14"/>
      <c r="F26" s="14"/>
      <c r="H26" s="15"/>
      <c r="I26" s="15"/>
      <c r="J26" s="13">
        <v>8</v>
      </c>
      <c r="K26" s="12">
        <v>0</v>
      </c>
      <c r="L26" s="14"/>
      <c r="M26" s="14"/>
      <c r="O26" s="15"/>
      <c r="P26" s="15"/>
      <c r="Q26" s="13">
        <v>8</v>
      </c>
      <c r="R26" s="12">
        <v>0.13700000000000001</v>
      </c>
      <c r="S26" s="14"/>
      <c r="T26" s="14"/>
    </row>
    <row r="27" spans="1:20" ht="15" customHeight="1" x14ac:dyDescent="0.3">
      <c r="A27" s="15"/>
      <c r="B27" s="15"/>
      <c r="C27" s="13">
        <v>9</v>
      </c>
      <c r="D27" s="12">
        <v>0.26800000000000002</v>
      </c>
      <c r="E27" s="14"/>
      <c r="F27" s="14"/>
      <c r="H27" s="15"/>
      <c r="I27" s="15"/>
      <c r="J27" s="13">
        <v>9</v>
      </c>
      <c r="K27" s="12">
        <v>6.2E-2</v>
      </c>
      <c r="L27" s="14"/>
      <c r="M27" s="14"/>
      <c r="O27" s="15"/>
      <c r="P27" s="15"/>
      <c r="Q27" s="13">
        <v>9</v>
      </c>
      <c r="R27" s="12">
        <v>5.1999999999999998E-2</v>
      </c>
      <c r="S27" s="14"/>
      <c r="T27" s="14"/>
    </row>
    <row r="28" spans="1:20" ht="15" customHeight="1" x14ac:dyDescent="0.3">
      <c r="A28" s="15"/>
      <c r="B28" s="15"/>
      <c r="C28" s="13">
        <v>10</v>
      </c>
      <c r="D28" s="12">
        <v>0.36299999999999999</v>
      </c>
      <c r="E28" s="14"/>
      <c r="F28" s="14"/>
      <c r="H28" s="15"/>
      <c r="I28" s="15"/>
      <c r="J28" s="13">
        <v>10</v>
      </c>
      <c r="K28" s="12">
        <v>0.09</v>
      </c>
      <c r="L28" s="14"/>
      <c r="M28" s="14"/>
      <c r="O28" s="15"/>
      <c r="P28" s="15"/>
      <c r="Q28" s="13">
        <v>10</v>
      </c>
      <c r="R28" s="12">
        <v>0.22500000000000001</v>
      </c>
      <c r="S28" s="14"/>
      <c r="T28" s="14"/>
    </row>
    <row r="29" spans="1:20" ht="15" customHeight="1" x14ac:dyDescent="0.3">
      <c r="A29" s="15"/>
      <c r="B29" s="15"/>
      <c r="C29" s="13">
        <v>11</v>
      </c>
      <c r="D29" s="12">
        <v>0.46100000000000002</v>
      </c>
      <c r="E29" s="14"/>
      <c r="F29" s="14"/>
      <c r="H29" s="15"/>
      <c r="I29" s="15"/>
      <c r="J29" s="13">
        <v>11</v>
      </c>
      <c r="K29" s="12">
        <v>0</v>
      </c>
      <c r="L29" s="14"/>
      <c r="M29" s="14"/>
      <c r="O29" s="15"/>
      <c r="P29" s="15"/>
      <c r="Q29" s="13">
        <v>11</v>
      </c>
      <c r="R29" s="12">
        <v>0.247</v>
      </c>
      <c r="S29" s="14"/>
      <c r="T29" s="14"/>
    </row>
    <row r="30" spans="1:20" ht="15" customHeight="1" x14ac:dyDescent="0.3">
      <c r="A30" s="15"/>
      <c r="B30" s="15"/>
      <c r="C30" s="13">
        <v>12</v>
      </c>
      <c r="D30" s="12">
        <v>0.26200000000000001</v>
      </c>
      <c r="E30" s="14"/>
      <c r="F30" s="14"/>
      <c r="H30" s="15"/>
      <c r="I30" s="15"/>
      <c r="J30" s="13">
        <v>12</v>
      </c>
      <c r="K30" s="12">
        <v>0</v>
      </c>
      <c r="L30" s="14"/>
      <c r="M30" s="14"/>
      <c r="O30" s="15"/>
      <c r="P30" s="15"/>
      <c r="Q30" s="13">
        <v>12</v>
      </c>
      <c r="R30" s="12">
        <v>0.128</v>
      </c>
      <c r="S30" s="14"/>
      <c r="T30" s="14"/>
    </row>
    <row r="31" spans="1:20" ht="15" customHeight="1" x14ac:dyDescent="0.3">
      <c r="A31" s="15"/>
      <c r="B31" s="15"/>
      <c r="C31" s="13">
        <v>13</v>
      </c>
      <c r="D31" s="12">
        <v>0.42799999999999999</v>
      </c>
      <c r="E31" s="14"/>
      <c r="F31" s="14"/>
      <c r="H31" s="15"/>
      <c r="I31" s="15"/>
      <c r="J31" s="13">
        <v>13</v>
      </c>
      <c r="K31" s="12">
        <v>0</v>
      </c>
      <c r="L31" s="14"/>
      <c r="M31" s="14"/>
      <c r="O31" s="15"/>
      <c r="P31" s="15"/>
      <c r="Q31" s="13">
        <v>13</v>
      </c>
      <c r="R31" s="12">
        <v>7.0999999999999994E-2</v>
      </c>
      <c r="S31" s="14"/>
      <c r="T31" s="14"/>
    </row>
    <row r="32" spans="1:20" ht="15" customHeight="1" x14ac:dyDescent="0.3">
      <c r="A32" s="15"/>
      <c r="B32" s="15"/>
      <c r="C32" s="13">
        <v>14</v>
      </c>
      <c r="D32" s="12">
        <v>0.25800000000000001</v>
      </c>
      <c r="E32" s="14"/>
      <c r="F32" s="14"/>
      <c r="H32" s="15"/>
      <c r="I32" s="15"/>
      <c r="J32" s="13">
        <v>14</v>
      </c>
      <c r="K32" s="12">
        <v>7.0000000000000007E-2</v>
      </c>
      <c r="L32" s="14"/>
      <c r="M32" s="14"/>
      <c r="O32" s="15"/>
      <c r="P32" s="15"/>
      <c r="Q32" s="13">
        <v>14</v>
      </c>
      <c r="R32" s="12">
        <v>0.14799999999999999</v>
      </c>
      <c r="S32" s="14"/>
      <c r="T32" s="14"/>
    </row>
    <row r="33" spans="1:20" ht="15" customHeight="1" x14ac:dyDescent="0.3">
      <c r="A33" s="15"/>
      <c r="B33" s="15"/>
      <c r="C33" s="13">
        <v>15</v>
      </c>
      <c r="D33" s="12">
        <v>0.51300000000000001</v>
      </c>
      <c r="E33" s="14"/>
      <c r="F33" s="14"/>
      <c r="H33" s="15"/>
      <c r="I33" s="15"/>
      <c r="J33" s="13">
        <v>15</v>
      </c>
      <c r="K33" s="12">
        <v>0</v>
      </c>
      <c r="L33" s="14"/>
      <c r="M33" s="14"/>
      <c r="O33" s="15"/>
      <c r="P33" s="15"/>
      <c r="Q33" s="13">
        <v>15</v>
      </c>
      <c r="R33" s="12">
        <v>0.10299999999999999</v>
      </c>
      <c r="S33" s="14"/>
      <c r="T33" s="14"/>
    </row>
    <row r="35" spans="1:20" ht="15" customHeight="1" x14ac:dyDescent="0.3">
      <c r="A35" s="11" t="s">
        <v>68</v>
      </c>
      <c r="B35" s="15" t="s">
        <v>69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</row>
  </sheetData>
  <mergeCells count="25">
    <mergeCell ref="L19:L33"/>
    <mergeCell ref="M19:M33"/>
    <mergeCell ref="B35:T35"/>
    <mergeCell ref="O19:O33"/>
    <mergeCell ref="P19:P33"/>
    <mergeCell ref="S19:S33"/>
    <mergeCell ref="T19:T33"/>
    <mergeCell ref="I19:I33"/>
    <mergeCell ref="A19:A33"/>
    <mergeCell ref="B19:B33"/>
    <mergeCell ref="E19:E33"/>
    <mergeCell ref="F19:F33"/>
    <mergeCell ref="H19:H33"/>
    <mergeCell ref="T2:T16"/>
    <mergeCell ref="A2:A16"/>
    <mergeCell ref="B2:B16"/>
    <mergeCell ref="E2:E16"/>
    <mergeCell ref="F2:F16"/>
    <mergeCell ref="H2:H16"/>
    <mergeCell ref="I2:I16"/>
    <mergeCell ref="L2:L16"/>
    <mergeCell ref="M2:M16"/>
    <mergeCell ref="O2:O16"/>
    <mergeCell ref="P2:P16"/>
    <mergeCell ref="S2:S16"/>
  </mergeCells>
  <phoneticPr fontId="1" type="noConversion"/>
  <conditionalFormatting sqref="D2:D16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D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1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8E719-0C76-4FE3-BC3F-76E6337B10C4}">
  <dimension ref="A1:T35"/>
  <sheetViews>
    <sheetView zoomScale="70" zoomScaleNormal="70" workbookViewId="0">
      <selection activeCell="L39" sqref="L39"/>
    </sheetView>
  </sheetViews>
  <sheetFormatPr defaultColWidth="10.75" defaultRowHeight="15" customHeight="1" x14ac:dyDescent="0.3"/>
  <cols>
    <col min="1" max="16384" width="10.75" style="10"/>
  </cols>
  <sheetData>
    <row r="1" spans="1:20" ht="15" customHeight="1" x14ac:dyDescent="0.3">
      <c r="A1" s="11" t="s">
        <v>62</v>
      </c>
      <c r="B1" s="11" t="s">
        <v>63</v>
      </c>
      <c r="C1" s="11" t="s">
        <v>64</v>
      </c>
      <c r="D1" s="11" t="s">
        <v>65</v>
      </c>
      <c r="E1" s="11" t="s">
        <v>66</v>
      </c>
      <c r="F1" s="11" t="s">
        <v>67</v>
      </c>
      <c r="H1" s="11" t="s">
        <v>62</v>
      </c>
      <c r="I1" s="11" t="s">
        <v>63</v>
      </c>
      <c r="J1" s="11" t="s">
        <v>64</v>
      </c>
      <c r="K1" s="11" t="s">
        <v>65</v>
      </c>
      <c r="L1" s="11" t="s">
        <v>66</v>
      </c>
      <c r="M1" s="11" t="s">
        <v>67</v>
      </c>
      <c r="O1" s="11" t="s">
        <v>62</v>
      </c>
      <c r="P1" s="11" t="s">
        <v>63</v>
      </c>
      <c r="Q1" s="11" t="s">
        <v>64</v>
      </c>
      <c r="R1" s="11" t="s">
        <v>65</v>
      </c>
      <c r="S1" s="11" t="s">
        <v>66</v>
      </c>
      <c r="T1" s="11" t="s">
        <v>67</v>
      </c>
    </row>
    <row r="2" spans="1:20" ht="15" customHeight="1" x14ac:dyDescent="0.3">
      <c r="A2" s="15">
        <v>4.5999999999999996</v>
      </c>
      <c r="B2" s="15">
        <v>2.4</v>
      </c>
      <c r="C2" s="13">
        <v>1</v>
      </c>
      <c r="D2" s="12">
        <v>1.4219999999999999</v>
      </c>
      <c r="E2" s="14">
        <f>AVERAGE(D2:D16)</f>
        <v>1.4483999999999999</v>
      </c>
      <c r="F2" s="14">
        <f>_xlfn.VAR.S(D2:D16)</f>
        <v>1.8023542857142853E-2</v>
      </c>
      <c r="H2" s="15">
        <v>3.8</v>
      </c>
      <c r="I2" s="15">
        <v>2.4</v>
      </c>
      <c r="J2" s="13">
        <v>1</v>
      </c>
      <c r="K2" s="12">
        <v>0.90300000000000002</v>
      </c>
      <c r="L2" s="14">
        <f>AVERAGE(K2:K16)</f>
        <v>0.9946666666666667</v>
      </c>
      <c r="M2" s="14">
        <f>_xlfn.VAR.S(K2:K16)</f>
        <v>3.2707095238095264E-2</v>
      </c>
      <c r="O2" s="15">
        <v>4.2</v>
      </c>
      <c r="P2" s="15">
        <v>1.6</v>
      </c>
      <c r="Q2" s="13">
        <v>1</v>
      </c>
      <c r="R2" s="12">
        <v>0.151</v>
      </c>
      <c r="S2" s="14">
        <f>AVERAGE(R2:R16)</f>
        <v>0.21126666666666663</v>
      </c>
      <c r="T2" s="14">
        <f>_xlfn.VAR.S(R2:R16)</f>
        <v>8.0299238095238226E-3</v>
      </c>
    </row>
    <row r="3" spans="1:20" ht="15" customHeight="1" x14ac:dyDescent="0.3">
      <c r="A3" s="15"/>
      <c r="B3" s="15"/>
      <c r="C3" s="13">
        <v>2</v>
      </c>
      <c r="D3" s="12">
        <v>1.304</v>
      </c>
      <c r="E3" s="14"/>
      <c r="F3" s="14"/>
      <c r="H3" s="15"/>
      <c r="I3" s="15"/>
      <c r="J3" s="13">
        <v>2</v>
      </c>
      <c r="K3" s="12">
        <v>0.98699999999999999</v>
      </c>
      <c r="L3" s="14"/>
      <c r="M3" s="14"/>
      <c r="O3" s="15"/>
      <c r="P3" s="15"/>
      <c r="Q3" s="13">
        <v>2</v>
      </c>
      <c r="R3" s="12">
        <v>0.16300000000000001</v>
      </c>
      <c r="S3" s="14"/>
      <c r="T3" s="14"/>
    </row>
    <row r="4" spans="1:20" ht="15" customHeight="1" x14ac:dyDescent="0.3">
      <c r="A4" s="15"/>
      <c r="B4" s="15"/>
      <c r="C4" s="13">
        <v>3</v>
      </c>
      <c r="D4" s="12">
        <v>1.31</v>
      </c>
      <c r="E4" s="14"/>
      <c r="F4" s="14"/>
      <c r="H4" s="15"/>
      <c r="I4" s="15"/>
      <c r="J4" s="13">
        <v>3</v>
      </c>
      <c r="K4" s="12">
        <v>1.1279999999999999</v>
      </c>
      <c r="L4" s="14"/>
      <c r="M4" s="14"/>
      <c r="O4" s="15"/>
      <c r="P4" s="15"/>
      <c r="Q4" s="13">
        <v>3</v>
      </c>
      <c r="R4" s="12">
        <v>0.113</v>
      </c>
      <c r="S4" s="14"/>
      <c r="T4" s="14"/>
    </row>
    <row r="5" spans="1:20" ht="15" customHeight="1" x14ac:dyDescent="0.3">
      <c r="A5" s="15"/>
      <c r="B5" s="15"/>
      <c r="C5" s="13">
        <v>4</v>
      </c>
      <c r="D5" s="12">
        <v>1.288</v>
      </c>
      <c r="E5" s="14"/>
      <c r="F5" s="14"/>
      <c r="H5" s="15"/>
      <c r="I5" s="15"/>
      <c r="J5" s="13">
        <v>4</v>
      </c>
      <c r="K5" s="12">
        <v>0.95899999999999996</v>
      </c>
      <c r="L5" s="14"/>
      <c r="M5" s="14"/>
      <c r="O5" s="15"/>
      <c r="P5" s="15"/>
      <c r="Q5" s="13">
        <v>4</v>
      </c>
      <c r="R5" s="12">
        <v>0.16900000000000001</v>
      </c>
      <c r="S5" s="14"/>
      <c r="T5" s="14"/>
    </row>
    <row r="6" spans="1:20" ht="15" customHeight="1" x14ac:dyDescent="0.3">
      <c r="A6" s="15"/>
      <c r="B6" s="15"/>
      <c r="C6" s="13">
        <v>5</v>
      </c>
      <c r="D6" s="12">
        <v>1.4279999999999999</v>
      </c>
      <c r="E6" s="14"/>
      <c r="F6" s="14"/>
      <c r="H6" s="15"/>
      <c r="I6" s="15"/>
      <c r="J6" s="13">
        <v>5</v>
      </c>
      <c r="K6" s="12">
        <v>1.0940000000000001</v>
      </c>
      <c r="L6" s="14"/>
      <c r="M6" s="14"/>
      <c r="O6" s="15"/>
      <c r="P6" s="15"/>
      <c r="Q6" s="13">
        <v>5</v>
      </c>
      <c r="R6" s="12">
        <v>0.19700000000000001</v>
      </c>
      <c r="S6" s="14"/>
      <c r="T6" s="14"/>
    </row>
    <row r="7" spans="1:20" ht="15" customHeight="1" x14ac:dyDescent="0.3">
      <c r="A7" s="15"/>
      <c r="B7" s="15"/>
      <c r="C7" s="13">
        <v>6</v>
      </c>
      <c r="D7" s="12">
        <v>1.647</v>
      </c>
      <c r="E7" s="14"/>
      <c r="F7" s="14"/>
      <c r="H7" s="15"/>
      <c r="I7" s="15"/>
      <c r="J7" s="13">
        <v>6</v>
      </c>
      <c r="K7" s="12">
        <v>0.745</v>
      </c>
      <c r="L7" s="14"/>
      <c r="M7" s="14"/>
      <c r="O7" s="15"/>
      <c r="P7" s="15"/>
      <c r="Q7" s="13">
        <v>6</v>
      </c>
      <c r="R7" s="12">
        <v>0.223</v>
      </c>
      <c r="S7" s="14"/>
      <c r="T7" s="14"/>
    </row>
    <row r="8" spans="1:20" ht="15" customHeight="1" x14ac:dyDescent="0.3">
      <c r="A8" s="15"/>
      <c r="B8" s="15"/>
      <c r="C8" s="13">
        <v>7</v>
      </c>
      <c r="D8" s="12">
        <v>1.3879999999999999</v>
      </c>
      <c r="E8" s="14"/>
      <c r="F8" s="14"/>
      <c r="H8" s="15"/>
      <c r="I8" s="15"/>
      <c r="J8" s="13">
        <v>7</v>
      </c>
      <c r="K8" s="12">
        <v>1.01</v>
      </c>
      <c r="L8" s="14"/>
      <c r="M8" s="14"/>
      <c r="O8" s="15"/>
      <c r="P8" s="15"/>
      <c r="Q8" s="13">
        <v>7</v>
      </c>
      <c r="R8" s="12">
        <v>0.45800000000000002</v>
      </c>
      <c r="S8" s="14"/>
      <c r="T8" s="14"/>
    </row>
    <row r="9" spans="1:20" ht="15" customHeight="1" x14ac:dyDescent="0.3">
      <c r="A9" s="15"/>
      <c r="B9" s="15"/>
      <c r="C9" s="13">
        <v>8</v>
      </c>
      <c r="D9" s="12">
        <v>1.5680000000000001</v>
      </c>
      <c r="E9" s="14"/>
      <c r="F9" s="14"/>
      <c r="H9" s="15"/>
      <c r="I9" s="15"/>
      <c r="J9" s="13">
        <v>8</v>
      </c>
      <c r="K9" s="12">
        <v>1.383</v>
      </c>
      <c r="L9" s="14"/>
      <c r="M9" s="14"/>
      <c r="O9" s="15"/>
      <c r="P9" s="15"/>
      <c r="Q9" s="13">
        <v>8</v>
      </c>
      <c r="R9" s="12">
        <v>0.191</v>
      </c>
      <c r="S9" s="14"/>
      <c r="T9" s="14"/>
    </row>
    <row r="10" spans="1:20" ht="15" customHeight="1" x14ac:dyDescent="0.3">
      <c r="A10" s="15"/>
      <c r="B10" s="15"/>
      <c r="C10" s="13">
        <v>9</v>
      </c>
      <c r="D10" s="12">
        <v>1.512</v>
      </c>
      <c r="E10" s="14"/>
      <c r="F10" s="14"/>
      <c r="H10" s="15"/>
      <c r="I10" s="15"/>
      <c r="J10" s="13">
        <v>9</v>
      </c>
      <c r="K10" s="12">
        <v>1.0860000000000001</v>
      </c>
      <c r="L10" s="14"/>
      <c r="M10" s="14"/>
      <c r="O10" s="15"/>
      <c r="P10" s="15"/>
      <c r="Q10" s="13">
        <v>9</v>
      </c>
      <c r="R10" s="12">
        <v>0.246</v>
      </c>
      <c r="S10" s="14"/>
      <c r="T10" s="14"/>
    </row>
    <row r="11" spans="1:20" ht="15" customHeight="1" x14ac:dyDescent="0.3">
      <c r="A11" s="15"/>
      <c r="B11" s="15"/>
      <c r="C11" s="13">
        <v>10</v>
      </c>
      <c r="D11" s="12">
        <v>1.6519999999999999</v>
      </c>
      <c r="E11" s="14"/>
      <c r="F11" s="14"/>
      <c r="H11" s="15"/>
      <c r="I11" s="15"/>
      <c r="J11" s="13">
        <v>10</v>
      </c>
      <c r="K11" s="12">
        <v>0.71199999999999997</v>
      </c>
      <c r="L11" s="14"/>
      <c r="M11" s="14"/>
      <c r="O11" s="15"/>
      <c r="P11" s="15"/>
      <c r="Q11" s="13">
        <v>10</v>
      </c>
      <c r="R11" s="12">
        <v>0.255</v>
      </c>
      <c r="S11" s="14"/>
      <c r="T11" s="14"/>
    </row>
    <row r="12" spans="1:20" ht="15" customHeight="1" x14ac:dyDescent="0.3">
      <c r="A12" s="15"/>
      <c r="B12" s="15"/>
      <c r="C12" s="13">
        <v>11</v>
      </c>
      <c r="D12" s="12">
        <v>1.5229999999999999</v>
      </c>
      <c r="E12" s="14"/>
      <c r="F12" s="14"/>
      <c r="H12" s="15"/>
      <c r="I12" s="15"/>
      <c r="J12" s="13">
        <v>11</v>
      </c>
      <c r="K12" s="12">
        <v>0.81</v>
      </c>
      <c r="L12" s="14"/>
      <c r="M12" s="14"/>
      <c r="O12" s="15"/>
      <c r="P12" s="15"/>
      <c r="Q12" s="13">
        <v>11</v>
      </c>
      <c r="R12" s="12">
        <v>0.22700000000000001</v>
      </c>
      <c r="S12" s="14"/>
      <c r="T12" s="14"/>
    </row>
    <row r="13" spans="1:20" ht="15" customHeight="1" x14ac:dyDescent="0.3">
      <c r="A13" s="15"/>
      <c r="B13" s="15"/>
      <c r="C13" s="13">
        <v>12</v>
      </c>
      <c r="D13" s="12">
        <v>1.556</v>
      </c>
      <c r="E13" s="14"/>
      <c r="F13" s="14"/>
      <c r="H13" s="15"/>
      <c r="I13" s="15"/>
      <c r="J13" s="13">
        <v>12</v>
      </c>
      <c r="K13" s="12">
        <v>1.0269999999999999</v>
      </c>
      <c r="L13" s="14"/>
      <c r="M13" s="14"/>
      <c r="O13" s="15"/>
      <c r="P13" s="15"/>
      <c r="Q13" s="13">
        <v>12</v>
      </c>
      <c r="R13" s="12">
        <v>0.13700000000000001</v>
      </c>
      <c r="S13" s="14"/>
      <c r="T13" s="14"/>
    </row>
    <row r="14" spans="1:20" ht="15" customHeight="1" x14ac:dyDescent="0.3">
      <c r="A14" s="15"/>
      <c r="B14" s="15"/>
      <c r="C14" s="13">
        <v>13</v>
      </c>
      <c r="D14" s="12">
        <v>1.5069999999999999</v>
      </c>
      <c r="E14" s="14"/>
      <c r="F14" s="14"/>
      <c r="H14" s="15"/>
      <c r="I14" s="15"/>
      <c r="J14" s="13">
        <v>13</v>
      </c>
      <c r="K14" s="12">
        <v>1.252</v>
      </c>
      <c r="L14" s="14"/>
      <c r="M14" s="14"/>
      <c r="O14" s="15"/>
      <c r="P14" s="15"/>
      <c r="Q14" s="13">
        <v>13</v>
      </c>
      <c r="R14" s="12">
        <v>9.6000000000000002E-2</v>
      </c>
      <c r="S14" s="14"/>
      <c r="T14" s="14"/>
    </row>
    <row r="15" spans="1:20" ht="15" customHeight="1" x14ac:dyDescent="0.3">
      <c r="A15" s="15"/>
      <c r="B15" s="15"/>
      <c r="C15" s="13">
        <v>14</v>
      </c>
      <c r="D15" s="12">
        <v>1.42</v>
      </c>
      <c r="E15" s="14"/>
      <c r="F15" s="14"/>
      <c r="H15" s="15"/>
      <c r="I15" s="15"/>
      <c r="J15" s="13">
        <v>14</v>
      </c>
      <c r="K15" s="12">
        <v>0.95599999999999996</v>
      </c>
      <c r="L15" s="14"/>
      <c r="M15" s="14"/>
      <c r="O15" s="15"/>
      <c r="P15" s="15"/>
      <c r="Q15" s="13">
        <v>14</v>
      </c>
      <c r="R15" s="12">
        <v>0.316</v>
      </c>
      <c r="S15" s="14"/>
      <c r="T15" s="14"/>
    </row>
    <row r="16" spans="1:20" ht="15" customHeight="1" x14ac:dyDescent="0.3">
      <c r="A16" s="15"/>
      <c r="B16" s="15"/>
      <c r="C16" s="13">
        <v>15</v>
      </c>
      <c r="D16" s="12">
        <v>1.2010000000000001</v>
      </c>
      <c r="E16" s="14"/>
      <c r="F16" s="14"/>
      <c r="H16" s="15"/>
      <c r="I16" s="15"/>
      <c r="J16" s="13">
        <v>15</v>
      </c>
      <c r="K16" s="12">
        <v>0.86799999999999999</v>
      </c>
      <c r="L16" s="14"/>
      <c r="M16" s="14"/>
      <c r="O16" s="15"/>
      <c r="P16" s="15"/>
      <c r="Q16" s="13">
        <v>15</v>
      </c>
      <c r="R16" s="12">
        <v>0.22700000000000001</v>
      </c>
      <c r="S16" s="14"/>
      <c r="T16" s="14"/>
    </row>
    <row r="18" spans="1:20" ht="15" customHeight="1" x14ac:dyDescent="0.3">
      <c r="A18" s="11" t="s">
        <v>62</v>
      </c>
      <c r="B18" s="11" t="s">
        <v>63</v>
      </c>
      <c r="C18" s="11" t="s">
        <v>64</v>
      </c>
      <c r="D18" s="11" t="s">
        <v>65</v>
      </c>
      <c r="E18" s="11" t="s">
        <v>66</v>
      </c>
      <c r="F18" s="11" t="s">
        <v>67</v>
      </c>
      <c r="H18" s="11" t="s">
        <v>62</v>
      </c>
      <c r="I18" s="11" t="s">
        <v>63</v>
      </c>
      <c r="J18" s="11" t="s">
        <v>64</v>
      </c>
      <c r="K18" s="11" t="s">
        <v>65</v>
      </c>
      <c r="L18" s="11" t="s">
        <v>66</v>
      </c>
      <c r="M18" s="11" t="s">
        <v>67</v>
      </c>
      <c r="O18" s="11" t="s">
        <v>62</v>
      </c>
      <c r="P18" s="11" t="s">
        <v>63</v>
      </c>
      <c r="Q18" s="11" t="s">
        <v>64</v>
      </c>
      <c r="R18" s="11" t="s">
        <v>65</v>
      </c>
      <c r="S18" s="11" t="s">
        <v>66</v>
      </c>
      <c r="T18" s="11" t="s">
        <v>67</v>
      </c>
    </row>
    <row r="19" spans="1:20" ht="15" customHeight="1" x14ac:dyDescent="0.3">
      <c r="A19" s="15">
        <v>3.8</v>
      </c>
      <c r="B19" s="15">
        <v>3.2</v>
      </c>
      <c r="C19" s="13">
        <v>1</v>
      </c>
      <c r="D19" s="12">
        <v>0.27500000000000002</v>
      </c>
      <c r="E19" s="14">
        <f>AVERAGE(D19:D33)</f>
        <v>0.19173333333333337</v>
      </c>
      <c r="F19" s="14">
        <f>_xlfn.VAR.S(D19:D33)</f>
        <v>1.3887066666666661E-2</v>
      </c>
      <c r="H19" s="15">
        <v>5.4</v>
      </c>
      <c r="I19" s="15">
        <v>2.8</v>
      </c>
      <c r="J19" s="13">
        <v>1</v>
      </c>
      <c r="K19" s="12">
        <v>0</v>
      </c>
      <c r="L19" s="14">
        <f>AVERAGE(K19:K33)</f>
        <v>0</v>
      </c>
      <c r="M19" s="14">
        <f>_xlfn.VAR.S(K19:K33)</f>
        <v>0</v>
      </c>
      <c r="O19" s="15">
        <v>5</v>
      </c>
      <c r="P19" s="15">
        <v>1.2</v>
      </c>
      <c r="Q19" s="13">
        <v>1</v>
      </c>
      <c r="R19" s="12">
        <v>0</v>
      </c>
      <c r="S19" s="14">
        <f>AVERAGE(R19:R33)</f>
        <v>0</v>
      </c>
      <c r="T19" s="14">
        <f>_xlfn.VAR.S(R19:R33)</f>
        <v>0</v>
      </c>
    </row>
    <row r="20" spans="1:20" ht="15" customHeight="1" x14ac:dyDescent="0.3">
      <c r="A20" s="15"/>
      <c r="B20" s="15"/>
      <c r="C20" s="13">
        <v>2</v>
      </c>
      <c r="D20" s="12">
        <v>0.247</v>
      </c>
      <c r="E20" s="14"/>
      <c r="F20" s="14"/>
      <c r="H20" s="15"/>
      <c r="I20" s="15"/>
      <c r="J20" s="13">
        <v>2</v>
      </c>
      <c r="K20" s="12">
        <v>0</v>
      </c>
      <c r="L20" s="14"/>
      <c r="M20" s="14"/>
      <c r="O20" s="15"/>
      <c r="P20" s="15"/>
      <c r="Q20" s="13">
        <v>2</v>
      </c>
      <c r="R20" s="12">
        <v>0</v>
      </c>
      <c r="S20" s="14"/>
      <c r="T20" s="14"/>
    </row>
    <row r="21" spans="1:20" ht="15" customHeight="1" x14ac:dyDescent="0.3">
      <c r="A21" s="15"/>
      <c r="B21" s="15"/>
      <c r="C21" s="13">
        <v>3</v>
      </c>
      <c r="D21" s="12">
        <v>0.253</v>
      </c>
      <c r="E21" s="14"/>
      <c r="F21" s="14"/>
      <c r="H21" s="15"/>
      <c r="I21" s="15"/>
      <c r="J21" s="13">
        <v>3</v>
      </c>
      <c r="K21" s="12">
        <v>0</v>
      </c>
      <c r="L21" s="14"/>
      <c r="M21" s="14"/>
      <c r="O21" s="15"/>
      <c r="P21" s="15"/>
      <c r="Q21" s="13">
        <v>3</v>
      </c>
      <c r="R21" s="12">
        <v>0</v>
      </c>
      <c r="S21" s="14"/>
      <c r="T21" s="14"/>
    </row>
    <row r="22" spans="1:20" ht="15" customHeight="1" x14ac:dyDescent="0.3">
      <c r="A22" s="15"/>
      <c r="B22" s="15"/>
      <c r="C22" s="13">
        <v>4</v>
      </c>
      <c r="D22" s="12">
        <v>0.17100000000000001</v>
      </c>
      <c r="E22" s="14"/>
      <c r="F22" s="14"/>
      <c r="H22" s="15"/>
      <c r="I22" s="15"/>
      <c r="J22" s="13">
        <v>4</v>
      </c>
      <c r="K22" s="12">
        <v>0</v>
      </c>
      <c r="L22" s="14"/>
      <c r="M22" s="14"/>
      <c r="O22" s="15"/>
      <c r="P22" s="15"/>
      <c r="Q22" s="13">
        <v>4</v>
      </c>
      <c r="R22" s="12">
        <v>0</v>
      </c>
      <c r="S22" s="14"/>
      <c r="T22" s="14"/>
    </row>
    <row r="23" spans="1:20" ht="15" customHeight="1" x14ac:dyDescent="0.3">
      <c r="A23" s="15"/>
      <c r="B23" s="15"/>
      <c r="C23" s="13">
        <v>5</v>
      </c>
      <c r="D23" s="12">
        <v>0.16900000000000001</v>
      </c>
      <c r="E23" s="14"/>
      <c r="F23" s="14"/>
      <c r="H23" s="15"/>
      <c r="I23" s="15"/>
      <c r="J23" s="13">
        <v>5</v>
      </c>
      <c r="K23" s="12">
        <v>0</v>
      </c>
      <c r="L23" s="14"/>
      <c r="M23" s="14"/>
      <c r="O23" s="15"/>
      <c r="P23" s="15"/>
      <c r="Q23" s="13">
        <v>5</v>
      </c>
      <c r="R23" s="12">
        <v>0</v>
      </c>
      <c r="S23" s="14"/>
      <c r="T23" s="14"/>
    </row>
    <row r="24" spans="1:20" ht="15" customHeight="1" x14ac:dyDescent="0.3">
      <c r="A24" s="15"/>
      <c r="B24" s="15"/>
      <c r="C24" s="13">
        <v>6</v>
      </c>
      <c r="D24" s="12">
        <v>0.34200000000000003</v>
      </c>
      <c r="E24" s="14"/>
      <c r="F24" s="14"/>
      <c r="H24" s="15"/>
      <c r="I24" s="15"/>
      <c r="J24" s="13">
        <v>6</v>
      </c>
      <c r="K24" s="12">
        <v>0</v>
      </c>
      <c r="L24" s="14"/>
      <c r="M24" s="14"/>
      <c r="O24" s="15"/>
      <c r="P24" s="15"/>
      <c r="Q24" s="13">
        <v>6</v>
      </c>
      <c r="R24" s="12">
        <v>0</v>
      </c>
      <c r="S24" s="14"/>
      <c r="T24" s="14"/>
    </row>
    <row r="25" spans="1:20" ht="15" customHeight="1" x14ac:dyDescent="0.3">
      <c r="A25" s="15"/>
      <c r="B25" s="15"/>
      <c r="C25" s="13">
        <v>7</v>
      </c>
      <c r="D25" s="12">
        <v>0.44600000000000001</v>
      </c>
      <c r="E25" s="14"/>
      <c r="F25" s="14"/>
      <c r="H25" s="15"/>
      <c r="I25" s="15"/>
      <c r="J25" s="13">
        <v>7</v>
      </c>
      <c r="K25" s="12">
        <v>0</v>
      </c>
      <c r="L25" s="14"/>
      <c r="M25" s="14"/>
      <c r="O25" s="15"/>
      <c r="P25" s="15"/>
      <c r="Q25" s="13">
        <v>7</v>
      </c>
      <c r="R25" s="12">
        <v>0</v>
      </c>
      <c r="S25" s="14"/>
      <c r="T25" s="14"/>
    </row>
    <row r="26" spans="1:20" ht="15" customHeight="1" x14ac:dyDescent="0.3">
      <c r="A26" s="15"/>
      <c r="B26" s="15"/>
      <c r="C26" s="13">
        <v>8</v>
      </c>
      <c r="D26" s="12">
        <v>0.30399999999999999</v>
      </c>
      <c r="E26" s="14"/>
      <c r="F26" s="14"/>
      <c r="H26" s="15"/>
      <c r="I26" s="15"/>
      <c r="J26" s="13">
        <v>8</v>
      </c>
      <c r="K26" s="12">
        <v>0</v>
      </c>
      <c r="L26" s="14"/>
      <c r="M26" s="14"/>
      <c r="O26" s="15"/>
      <c r="P26" s="15"/>
      <c r="Q26" s="13">
        <v>8</v>
      </c>
      <c r="R26" s="12">
        <v>0</v>
      </c>
      <c r="S26" s="14"/>
      <c r="T26" s="14"/>
    </row>
    <row r="27" spans="1:20" ht="15" customHeight="1" x14ac:dyDescent="0.3">
      <c r="A27" s="15"/>
      <c r="B27" s="15"/>
      <c r="C27" s="13">
        <v>9</v>
      </c>
      <c r="D27" s="12">
        <v>0.16400000000000001</v>
      </c>
      <c r="E27" s="14"/>
      <c r="F27" s="14"/>
      <c r="H27" s="15"/>
      <c r="I27" s="15"/>
      <c r="J27" s="13">
        <v>9</v>
      </c>
      <c r="K27" s="12">
        <v>0</v>
      </c>
      <c r="L27" s="14"/>
      <c r="M27" s="14"/>
      <c r="O27" s="15"/>
      <c r="P27" s="15"/>
      <c r="Q27" s="13">
        <v>9</v>
      </c>
      <c r="R27" s="12">
        <v>0</v>
      </c>
      <c r="S27" s="14"/>
      <c r="T27" s="14"/>
    </row>
    <row r="28" spans="1:20" ht="15" customHeight="1" x14ac:dyDescent="0.3">
      <c r="A28" s="15"/>
      <c r="B28" s="15"/>
      <c r="C28" s="13">
        <v>10</v>
      </c>
      <c r="D28" s="12">
        <v>0.13200000000000001</v>
      </c>
      <c r="E28" s="14"/>
      <c r="F28" s="14"/>
      <c r="H28" s="15"/>
      <c r="I28" s="15"/>
      <c r="J28" s="13">
        <v>10</v>
      </c>
      <c r="K28" s="12">
        <v>0</v>
      </c>
      <c r="L28" s="14"/>
      <c r="M28" s="14"/>
      <c r="O28" s="15"/>
      <c r="P28" s="15"/>
      <c r="Q28" s="13">
        <v>10</v>
      </c>
      <c r="R28" s="12">
        <v>0</v>
      </c>
      <c r="S28" s="14"/>
      <c r="T28" s="14"/>
    </row>
    <row r="29" spans="1:20" ht="15" customHeight="1" x14ac:dyDescent="0.3">
      <c r="A29" s="15"/>
      <c r="B29" s="15"/>
      <c r="C29" s="13">
        <v>11</v>
      </c>
      <c r="D29" s="12">
        <v>9.6000000000000002E-2</v>
      </c>
      <c r="E29" s="14"/>
      <c r="F29" s="14"/>
      <c r="H29" s="15"/>
      <c r="I29" s="15"/>
      <c r="J29" s="13">
        <v>11</v>
      </c>
      <c r="K29" s="12">
        <v>0</v>
      </c>
      <c r="L29" s="14"/>
      <c r="M29" s="14"/>
      <c r="O29" s="15"/>
      <c r="P29" s="15"/>
      <c r="Q29" s="13">
        <v>11</v>
      </c>
      <c r="R29" s="12">
        <v>0</v>
      </c>
      <c r="S29" s="14"/>
      <c r="T29" s="14"/>
    </row>
    <row r="30" spans="1:20" ht="15" customHeight="1" x14ac:dyDescent="0.3">
      <c r="A30" s="15"/>
      <c r="B30" s="15"/>
      <c r="C30" s="13">
        <v>12</v>
      </c>
      <c r="D30" s="12">
        <v>0.10299999999999999</v>
      </c>
      <c r="E30" s="14"/>
      <c r="F30" s="14"/>
      <c r="H30" s="15"/>
      <c r="I30" s="15"/>
      <c r="J30" s="13">
        <v>12</v>
      </c>
      <c r="K30" s="12">
        <v>0</v>
      </c>
      <c r="L30" s="14"/>
      <c r="M30" s="14"/>
      <c r="O30" s="15"/>
      <c r="P30" s="15"/>
      <c r="Q30" s="13">
        <v>12</v>
      </c>
      <c r="R30" s="12">
        <v>0</v>
      </c>
      <c r="S30" s="14"/>
      <c r="T30" s="14"/>
    </row>
    <row r="31" spans="1:20" ht="15" customHeight="1" x14ac:dyDescent="0.3">
      <c r="A31" s="15"/>
      <c r="B31" s="15"/>
      <c r="C31" s="13">
        <v>13</v>
      </c>
      <c r="D31" s="12">
        <v>3.9E-2</v>
      </c>
      <c r="E31" s="14"/>
      <c r="F31" s="14"/>
      <c r="H31" s="15"/>
      <c r="I31" s="15"/>
      <c r="J31" s="13">
        <v>13</v>
      </c>
      <c r="K31" s="12">
        <v>0</v>
      </c>
      <c r="L31" s="14"/>
      <c r="M31" s="14"/>
      <c r="O31" s="15"/>
      <c r="P31" s="15"/>
      <c r="Q31" s="13">
        <v>13</v>
      </c>
      <c r="R31" s="12">
        <v>0</v>
      </c>
      <c r="S31" s="14"/>
      <c r="T31" s="14"/>
    </row>
    <row r="32" spans="1:20" ht="15" customHeight="1" x14ac:dyDescent="0.3">
      <c r="A32" s="15"/>
      <c r="B32" s="15"/>
      <c r="C32" s="13">
        <v>14</v>
      </c>
      <c r="D32" s="12">
        <v>0.114</v>
      </c>
      <c r="E32" s="14"/>
      <c r="F32" s="14"/>
      <c r="H32" s="15"/>
      <c r="I32" s="15"/>
      <c r="J32" s="13">
        <v>14</v>
      </c>
      <c r="K32" s="12">
        <v>0</v>
      </c>
      <c r="L32" s="14"/>
      <c r="M32" s="14"/>
      <c r="O32" s="15"/>
      <c r="P32" s="15"/>
      <c r="Q32" s="13">
        <v>14</v>
      </c>
      <c r="R32" s="12">
        <v>0</v>
      </c>
      <c r="S32" s="14"/>
      <c r="T32" s="14"/>
    </row>
    <row r="33" spans="1:20" ht="15" customHeight="1" x14ac:dyDescent="0.3">
      <c r="A33" s="15"/>
      <c r="B33" s="15"/>
      <c r="C33" s="13">
        <v>15</v>
      </c>
      <c r="D33" s="12">
        <v>2.1000000000000001E-2</v>
      </c>
      <c r="E33" s="14"/>
      <c r="F33" s="14"/>
      <c r="H33" s="15"/>
      <c r="I33" s="15"/>
      <c r="J33" s="13">
        <v>15</v>
      </c>
      <c r="K33" s="12">
        <v>0</v>
      </c>
      <c r="L33" s="14"/>
      <c r="M33" s="14"/>
      <c r="O33" s="15"/>
      <c r="P33" s="15"/>
      <c r="Q33" s="13">
        <v>15</v>
      </c>
      <c r="R33" s="12">
        <v>0</v>
      </c>
      <c r="S33" s="14"/>
      <c r="T33" s="14"/>
    </row>
    <row r="35" spans="1:20" ht="15" customHeight="1" x14ac:dyDescent="0.3">
      <c r="A35" s="11" t="s">
        <v>68</v>
      </c>
      <c r="B35" s="15" t="s">
        <v>71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</row>
  </sheetData>
  <mergeCells count="25">
    <mergeCell ref="L19:L33"/>
    <mergeCell ref="M19:M33"/>
    <mergeCell ref="B35:T35"/>
    <mergeCell ref="O19:O33"/>
    <mergeCell ref="P19:P33"/>
    <mergeCell ref="S19:S33"/>
    <mergeCell ref="T19:T33"/>
    <mergeCell ref="I19:I33"/>
    <mergeCell ref="A19:A33"/>
    <mergeCell ref="B19:B33"/>
    <mergeCell ref="E19:E33"/>
    <mergeCell ref="F19:F33"/>
    <mergeCell ref="H19:H33"/>
    <mergeCell ref="T2:T16"/>
    <mergeCell ref="A2:A16"/>
    <mergeCell ref="B2:B16"/>
    <mergeCell ref="E2:E16"/>
    <mergeCell ref="F2:F16"/>
    <mergeCell ref="H2:H16"/>
    <mergeCell ref="I2:I16"/>
    <mergeCell ref="L2:L16"/>
    <mergeCell ref="M2:M16"/>
    <mergeCell ref="O2:O16"/>
    <mergeCell ref="P2:P16"/>
    <mergeCell ref="S2:S16"/>
  </mergeCells>
  <phoneticPr fontId="1" type="noConversion"/>
  <conditionalFormatting sqref="D2:D1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D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1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20BDE-9EF8-43C7-B80F-F1D0AB1A0B06}">
  <dimension ref="A1:T35"/>
  <sheetViews>
    <sheetView workbookViewId="0">
      <selection sqref="A1:XFD1048576"/>
    </sheetView>
  </sheetViews>
  <sheetFormatPr defaultColWidth="10.75" defaultRowHeight="15" customHeight="1" x14ac:dyDescent="0.3"/>
  <cols>
    <col min="1" max="16384" width="10.75" style="10"/>
  </cols>
  <sheetData>
    <row r="1" spans="1:20" ht="15" customHeight="1" x14ac:dyDescent="0.3">
      <c r="A1" s="11" t="s">
        <v>62</v>
      </c>
      <c r="B1" s="11" t="s">
        <v>63</v>
      </c>
      <c r="C1" s="11" t="s">
        <v>64</v>
      </c>
      <c r="D1" s="11" t="s">
        <v>65</v>
      </c>
      <c r="E1" s="11" t="s">
        <v>66</v>
      </c>
      <c r="F1" s="11" t="s">
        <v>67</v>
      </c>
      <c r="H1" s="11" t="s">
        <v>62</v>
      </c>
      <c r="I1" s="11" t="s">
        <v>63</v>
      </c>
      <c r="J1" s="11" t="s">
        <v>64</v>
      </c>
      <c r="K1" s="11" t="s">
        <v>65</v>
      </c>
      <c r="L1" s="11" t="s">
        <v>66</v>
      </c>
      <c r="M1" s="11" t="s">
        <v>67</v>
      </c>
      <c r="O1" s="11" t="s">
        <v>62</v>
      </c>
      <c r="P1" s="11" t="s">
        <v>63</v>
      </c>
      <c r="Q1" s="11" t="s">
        <v>64</v>
      </c>
      <c r="R1" s="11" t="s">
        <v>65</v>
      </c>
      <c r="S1" s="11" t="s">
        <v>66</v>
      </c>
      <c r="T1" s="11" t="s">
        <v>67</v>
      </c>
    </row>
    <row r="2" spans="1:20" ht="15" customHeight="1" x14ac:dyDescent="0.3">
      <c r="A2" s="15">
        <v>4.5999999999999996</v>
      </c>
      <c r="B2" s="15">
        <v>2.4</v>
      </c>
      <c r="C2" s="13">
        <v>1</v>
      </c>
      <c r="D2" s="12"/>
      <c r="E2" s="14" t="e">
        <f>AVERAGE(D2:D16)</f>
        <v>#DIV/0!</v>
      </c>
      <c r="F2" s="14" t="e">
        <f>_xlfn.VAR.S(D2:D16)</f>
        <v>#DIV/0!</v>
      </c>
      <c r="H2" s="15">
        <v>3.8</v>
      </c>
      <c r="I2" s="15">
        <v>2.4</v>
      </c>
      <c r="J2" s="13">
        <v>1</v>
      </c>
      <c r="K2" s="12"/>
      <c r="L2" s="14" t="e">
        <f>AVERAGE(K2:K16)</f>
        <v>#DIV/0!</v>
      </c>
      <c r="M2" s="14" t="e">
        <f>_xlfn.VAR.S(K2:K16)</f>
        <v>#DIV/0!</v>
      </c>
      <c r="O2" s="15">
        <v>4.2</v>
      </c>
      <c r="P2" s="15">
        <v>1.6</v>
      </c>
      <c r="Q2" s="13">
        <v>1</v>
      </c>
      <c r="R2" s="12"/>
      <c r="S2" s="14" t="e">
        <f>AVERAGE(R2:R16)</f>
        <v>#DIV/0!</v>
      </c>
      <c r="T2" s="14" t="e">
        <f>_xlfn.VAR.S(R2:R16)</f>
        <v>#DIV/0!</v>
      </c>
    </row>
    <row r="3" spans="1:20" ht="15" customHeight="1" x14ac:dyDescent="0.3">
      <c r="A3" s="15"/>
      <c r="B3" s="15"/>
      <c r="C3" s="13">
        <v>2</v>
      </c>
      <c r="D3" s="12"/>
      <c r="E3" s="14"/>
      <c r="F3" s="14"/>
      <c r="H3" s="15"/>
      <c r="I3" s="15"/>
      <c r="J3" s="13">
        <v>2</v>
      </c>
      <c r="K3" s="12"/>
      <c r="L3" s="14"/>
      <c r="M3" s="14"/>
      <c r="O3" s="15"/>
      <c r="P3" s="15"/>
      <c r="Q3" s="13">
        <v>2</v>
      </c>
      <c r="R3" s="12"/>
      <c r="S3" s="14"/>
      <c r="T3" s="14"/>
    </row>
    <row r="4" spans="1:20" ht="15" customHeight="1" x14ac:dyDescent="0.3">
      <c r="A4" s="15"/>
      <c r="B4" s="15"/>
      <c r="C4" s="13">
        <v>3</v>
      </c>
      <c r="D4" s="12"/>
      <c r="E4" s="14"/>
      <c r="F4" s="14"/>
      <c r="H4" s="15"/>
      <c r="I4" s="15"/>
      <c r="J4" s="13">
        <v>3</v>
      </c>
      <c r="K4" s="12"/>
      <c r="L4" s="14"/>
      <c r="M4" s="14"/>
      <c r="O4" s="15"/>
      <c r="P4" s="15"/>
      <c r="Q4" s="13">
        <v>3</v>
      </c>
      <c r="R4" s="12"/>
      <c r="S4" s="14"/>
      <c r="T4" s="14"/>
    </row>
    <row r="5" spans="1:20" ht="15" customHeight="1" x14ac:dyDescent="0.3">
      <c r="A5" s="15"/>
      <c r="B5" s="15"/>
      <c r="C5" s="13">
        <v>4</v>
      </c>
      <c r="D5" s="12"/>
      <c r="E5" s="14"/>
      <c r="F5" s="14"/>
      <c r="H5" s="15"/>
      <c r="I5" s="15"/>
      <c r="J5" s="13">
        <v>4</v>
      </c>
      <c r="K5" s="12"/>
      <c r="L5" s="14"/>
      <c r="M5" s="14"/>
      <c r="O5" s="15"/>
      <c r="P5" s="15"/>
      <c r="Q5" s="13">
        <v>4</v>
      </c>
      <c r="R5" s="12"/>
      <c r="S5" s="14"/>
      <c r="T5" s="14"/>
    </row>
    <row r="6" spans="1:20" ht="15" customHeight="1" x14ac:dyDescent="0.3">
      <c r="A6" s="15"/>
      <c r="B6" s="15"/>
      <c r="C6" s="13">
        <v>5</v>
      </c>
      <c r="D6" s="12"/>
      <c r="E6" s="14"/>
      <c r="F6" s="14"/>
      <c r="H6" s="15"/>
      <c r="I6" s="15"/>
      <c r="J6" s="13">
        <v>5</v>
      </c>
      <c r="K6" s="12"/>
      <c r="L6" s="14"/>
      <c r="M6" s="14"/>
      <c r="O6" s="15"/>
      <c r="P6" s="15"/>
      <c r="Q6" s="13">
        <v>5</v>
      </c>
      <c r="R6" s="12"/>
      <c r="S6" s="14"/>
      <c r="T6" s="14"/>
    </row>
    <row r="7" spans="1:20" ht="15" customHeight="1" x14ac:dyDescent="0.3">
      <c r="A7" s="15"/>
      <c r="B7" s="15"/>
      <c r="C7" s="13">
        <v>6</v>
      </c>
      <c r="D7" s="12"/>
      <c r="E7" s="14"/>
      <c r="F7" s="14"/>
      <c r="H7" s="15"/>
      <c r="I7" s="15"/>
      <c r="J7" s="13">
        <v>6</v>
      </c>
      <c r="K7" s="12"/>
      <c r="L7" s="14"/>
      <c r="M7" s="14"/>
      <c r="O7" s="15"/>
      <c r="P7" s="15"/>
      <c r="Q7" s="13">
        <v>6</v>
      </c>
      <c r="R7" s="12"/>
      <c r="S7" s="14"/>
      <c r="T7" s="14"/>
    </row>
    <row r="8" spans="1:20" ht="15" customHeight="1" x14ac:dyDescent="0.3">
      <c r="A8" s="15"/>
      <c r="B8" s="15"/>
      <c r="C8" s="13">
        <v>7</v>
      </c>
      <c r="D8" s="12"/>
      <c r="E8" s="14"/>
      <c r="F8" s="14"/>
      <c r="H8" s="15"/>
      <c r="I8" s="15"/>
      <c r="J8" s="13">
        <v>7</v>
      </c>
      <c r="K8" s="12"/>
      <c r="L8" s="14"/>
      <c r="M8" s="14"/>
      <c r="O8" s="15"/>
      <c r="P8" s="15"/>
      <c r="Q8" s="13">
        <v>7</v>
      </c>
      <c r="R8" s="12"/>
      <c r="S8" s="14"/>
      <c r="T8" s="14"/>
    </row>
    <row r="9" spans="1:20" ht="15" customHeight="1" x14ac:dyDescent="0.3">
      <c r="A9" s="15"/>
      <c r="B9" s="15"/>
      <c r="C9" s="13">
        <v>8</v>
      </c>
      <c r="D9" s="12"/>
      <c r="E9" s="14"/>
      <c r="F9" s="14"/>
      <c r="H9" s="15"/>
      <c r="I9" s="15"/>
      <c r="J9" s="13">
        <v>8</v>
      </c>
      <c r="K9" s="12"/>
      <c r="L9" s="14"/>
      <c r="M9" s="14"/>
      <c r="O9" s="15"/>
      <c r="P9" s="15"/>
      <c r="Q9" s="13">
        <v>8</v>
      </c>
      <c r="R9" s="12"/>
      <c r="S9" s="14"/>
      <c r="T9" s="14"/>
    </row>
    <row r="10" spans="1:20" ht="15" customHeight="1" x14ac:dyDescent="0.3">
      <c r="A10" s="15"/>
      <c r="B10" s="15"/>
      <c r="C10" s="13">
        <v>9</v>
      </c>
      <c r="D10" s="12"/>
      <c r="E10" s="14"/>
      <c r="F10" s="14"/>
      <c r="H10" s="15"/>
      <c r="I10" s="15"/>
      <c r="J10" s="13">
        <v>9</v>
      </c>
      <c r="K10" s="12"/>
      <c r="L10" s="14"/>
      <c r="M10" s="14"/>
      <c r="O10" s="15"/>
      <c r="P10" s="15"/>
      <c r="Q10" s="13">
        <v>9</v>
      </c>
      <c r="R10" s="12"/>
      <c r="S10" s="14"/>
      <c r="T10" s="14"/>
    </row>
    <row r="11" spans="1:20" ht="15" customHeight="1" x14ac:dyDescent="0.3">
      <c r="A11" s="15"/>
      <c r="B11" s="15"/>
      <c r="C11" s="13">
        <v>10</v>
      </c>
      <c r="D11" s="12"/>
      <c r="E11" s="14"/>
      <c r="F11" s="14"/>
      <c r="H11" s="15"/>
      <c r="I11" s="15"/>
      <c r="J11" s="13">
        <v>10</v>
      </c>
      <c r="K11" s="12"/>
      <c r="L11" s="14"/>
      <c r="M11" s="14"/>
      <c r="O11" s="15"/>
      <c r="P11" s="15"/>
      <c r="Q11" s="13">
        <v>10</v>
      </c>
      <c r="R11" s="12"/>
      <c r="S11" s="14"/>
      <c r="T11" s="14"/>
    </row>
    <row r="12" spans="1:20" ht="15" customHeight="1" x14ac:dyDescent="0.3">
      <c r="A12" s="15"/>
      <c r="B12" s="15"/>
      <c r="C12" s="13">
        <v>11</v>
      </c>
      <c r="D12" s="12"/>
      <c r="E12" s="14"/>
      <c r="F12" s="14"/>
      <c r="H12" s="15"/>
      <c r="I12" s="15"/>
      <c r="J12" s="13">
        <v>11</v>
      </c>
      <c r="K12" s="12"/>
      <c r="L12" s="14"/>
      <c r="M12" s="14"/>
      <c r="O12" s="15"/>
      <c r="P12" s="15"/>
      <c r="Q12" s="13">
        <v>11</v>
      </c>
      <c r="R12" s="12"/>
      <c r="S12" s="14"/>
      <c r="T12" s="14"/>
    </row>
    <row r="13" spans="1:20" ht="15" customHeight="1" x14ac:dyDescent="0.3">
      <c r="A13" s="15"/>
      <c r="B13" s="15"/>
      <c r="C13" s="13">
        <v>12</v>
      </c>
      <c r="D13" s="12"/>
      <c r="E13" s="14"/>
      <c r="F13" s="14"/>
      <c r="H13" s="15"/>
      <c r="I13" s="15"/>
      <c r="J13" s="13">
        <v>12</v>
      </c>
      <c r="K13" s="12"/>
      <c r="L13" s="14"/>
      <c r="M13" s="14"/>
      <c r="O13" s="15"/>
      <c r="P13" s="15"/>
      <c r="Q13" s="13">
        <v>12</v>
      </c>
      <c r="R13" s="12"/>
      <c r="S13" s="14"/>
      <c r="T13" s="14"/>
    </row>
    <row r="14" spans="1:20" ht="15" customHeight="1" x14ac:dyDescent="0.3">
      <c r="A14" s="15"/>
      <c r="B14" s="15"/>
      <c r="C14" s="13">
        <v>13</v>
      </c>
      <c r="D14" s="12"/>
      <c r="E14" s="14"/>
      <c r="F14" s="14"/>
      <c r="H14" s="15"/>
      <c r="I14" s="15"/>
      <c r="J14" s="13">
        <v>13</v>
      </c>
      <c r="K14" s="12"/>
      <c r="L14" s="14"/>
      <c r="M14" s="14"/>
      <c r="O14" s="15"/>
      <c r="P14" s="15"/>
      <c r="Q14" s="13">
        <v>13</v>
      </c>
      <c r="R14" s="12"/>
      <c r="S14" s="14"/>
      <c r="T14" s="14"/>
    </row>
    <row r="15" spans="1:20" ht="15" customHeight="1" x14ac:dyDescent="0.3">
      <c r="A15" s="15"/>
      <c r="B15" s="15"/>
      <c r="C15" s="13">
        <v>14</v>
      </c>
      <c r="D15" s="12"/>
      <c r="E15" s="14"/>
      <c r="F15" s="14"/>
      <c r="H15" s="15"/>
      <c r="I15" s="15"/>
      <c r="J15" s="13">
        <v>14</v>
      </c>
      <c r="K15" s="12"/>
      <c r="L15" s="14"/>
      <c r="M15" s="14"/>
      <c r="O15" s="15"/>
      <c r="P15" s="15"/>
      <c r="Q15" s="13">
        <v>14</v>
      </c>
      <c r="R15" s="12"/>
      <c r="S15" s="14"/>
      <c r="T15" s="14"/>
    </row>
    <row r="16" spans="1:20" ht="15" customHeight="1" x14ac:dyDescent="0.3">
      <c r="A16" s="15"/>
      <c r="B16" s="15"/>
      <c r="C16" s="13">
        <v>15</v>
      </c>
      <c r="D16" s="12"/>
      <c r="E16" s="14"/>
      <c r="F16" s="14"/>
      <c r="H16" s="15"/>
      <c r="I16" s="15"/>
      <c r="J16" s="13">
        <v>15</v>
      </c>
      <c r="K16" s="12"/>
      <c r="L16" s="14"/>
      <c r="M16" s="14"/>
      <c r="O16" s="15"/>
      <c r="P16" s="15"/>
      <c r="Q16" s="13">
        <v>15</v>
      </c>
      <c r="R16" s="12"/>
      <c r="S16" s="14"/>
      <c r="T16" s="14"/>
    </row>
    <row r="18" spans="1:20" ht="15" customHeight="1" x14ac:dyDescent="0.3">
      <c r="A18" s="11" t="s">
        <v>62</v>
      </c>
      <c r="B18" s="11" t="s">
        <v>63</v>
      </c>
      <c r="C18" s="11" t="s">
        <v>64</v>
      </c>
      <c r="D18" s="11" t="s">
        <v>65</v>
      </c>
      <c r="E18" s="11" t="s">
        <v>66</v>
      </c>
      <c r="F18" s="11" t="s">
        <v>67</v>
      </c>
      <c r="H18" s="11" t="s">
        <v>62</v>
      </c>
      <c r="I18" s="11" t="s">
        <v>63</v>
      </c>
      <c r="J18" s="11" t="s">
        <v>64</v>
      </c>
      <c r="K18" s="11" t="s">
        <v>65</v>
      </c>
      <c r="L18" s="11" t="s">
        <v>66</v>
      </c>
      <c r="M18" s="11" t="s">
        <v>67</v>
      </c>
      <c r="O18" s="11" t="s">
        <v>62</v>
      </c>
      <c r="P18" s="11" t="s">
        <v>63</v>
      </c>
      <c r="Q18" s="11" t="s">
        <v>64</v>
      </c>
      <c r="R18" s="11" t="s">
        <v>65</v>
      </c>
      <c r="S18" s="11" t="s">
        <v>66</v>
      </c>
      <c r="T18" s="11" t="s">
        <v>67</v>
      </c>
    </row>
    <row r="19" spans="1:20" ht="15" customHeight="1" x14ac:dyDescent="0.3">
      <c r="A19" s="15">
        <v>3.8</v>
      </c>
      <c r="B19" s="15">
        <v>3.2</v>
      </c>
      <c r="C19" s="13">
        <v>1</v>
      </c>
      <c r="D19" s="12"/>
      <c r="E19" s="14" t="e">
        <f>AVERAGE(D19:D33)</f>
        <v>#DIV/0!</v>
      </c>
      <c r="F19" s="14" t="e">
        <f>_xlfn.VAR.S(D19:D33)</f>
        <v>#DIV/0!</v>
      </c>
      <c r="H19" s="15">
        <v>5.4</v>
      </c>
      <c r="I19" s="15">
        <v>2.8</v>
      </c>
      <c r="J19" s="13">
        <v>1</v>
      </c>
      <c r="K19" s="12"/>
      <c r="L19" s="14" t="e">
        <f>AVERAGE(K19:K33)</f>
        <v>#DIV/0!</v>
      </c>
      <c r="M19" s="14" t="e">
        <f>_xlfn.VAR.S(K19:K33)</f>
        <v>#DIV/0!</v>
      </c>
      <c r="O19" s="15">
        <v>5</v>
      </c>
      <c r="P19" s="15">
        <v>1.2</v>
      </c>
      <c r="Q19" s="13">
        <v>1</v>
      </c>
      <c r="R19" s="12"/>
      <c r="S19" s="14" t="e">
        <f>AVERAGE(R19:R33)</f>
        <v>#DIV/0!</v>
      </c>
      <c r="T19" s="14" t="e">
        <f>_xlfn.VAR.S(R19:R33)</f>
        <v>#DIV/0!</v>
      </c>
    </row>
    <row r="20" spans="1:20" ht="15" customHeight="1" x14ac:dyDescent="0.3">
      <c r="A20" s="15"/>
      <c r="B20" s="15"/>
      <c r="C20" s="13">
        <v>2</v>
      </c>
      <c r="D20" s="12"/>
      <c r="E20" s="14"/>
      <c r="F20" s="14"/>
      <c r="H20" s="15"/>
      <c r="I20" s="15"/>
      <c r="J20" s="13">
        <v>2</v>
      </c>
      <c r="K20" s="12"/>
      <c r="L20" s="14"/>
      <c r="M20" s="14"/>
      <c r="O20" s="15"/>
      <c r="P20" s="15"/>
      <c r="Q20" s="13">
        <v>2</v>
      </c>
      <c r="R20" s="12"/>
      <c r="S20" s="14"/>
      <c r="T20" s="14"/>
    </row>
    <row r="21" spans="1:20" ht="15" customHeight="1" x14ac:dyDescent="0.3">
      <c r="A21" s="15"/>
      <c r="B21" s="15"/>
      <c r="C21" s="13">
        <v>3</v>
      </c>
      <c r="D21" s="12"/>
      <c r="E21" s="14"/>
      <c r="F21" s="14"/>
      <c r="H21" s="15"/>
      <c r="I21" s="15"/>
      <c r="J21" s="13">
        <v>3</v>
      </c>
      <c r="K21" s="12"/>
      <c r="L21" s="14"/>
      <c r="M21" s="14"/>
      <c r="O21" s="15"/>
      <c r="P21" s="15"/>
      <c r="Q21" s="13">
        <v>3</v>
      </c>
      <c r="R21" s="12"/>
      <c r="S21" s="14"/>
      <c r="T21" s="14"/>
    </row>
    <row r="22" spans="1:20" ht="15" customHeight="1" x14ac:dyDescent="0.3">
      <c r="A22" s="15"/>
      <c r="B22" s="15"/>
      <c r="C22" s="13">
        <v>4</v>
      </c>
      <c r="D22" s="12"/>
      <c r="E22" s="14"/>
      <c r="F22" s="14"/>
      <c r="H22" s="15"/>
      <c r="I22" s="15"/>
      <c r="J22" s="13">
        <v>4</v>
      </c>
      <c r="K22" s="12"/>
      <c r="L22" s="14"/>
      <c r="M22" s="14"/>
      <c r="O22" s="15"/>
      <c r="P22" s="15"/>
      <c r="Q22" s="13">
        <v>4</v>
      </c>
      <c r="R22" s="12"/>
      <c r="S22" s="14"/>
      <c r="T22" s="14"/>
    </row>
    <row r="23" spans="1:20" ht="15" customHeight="1" x14ac:dyDescent="0.3">
      <c r="A23" s="15"/>
      <c r="B23" s="15"/>
      <c r="C23" s="13">
        <v>5</v>
      </c>
      <c r="D23" s="12"/>
      <c r="E23" s="14"/>
      <c r="F23" s="14"/>
      <c r="H23" s="15"/>
      <c r="I23" s="15"/>
      <c r="J23" s="13">
        <v>5</v>
      </c>
      <c r="K23" s="12"/>
      <c r="L23" s="14"/>
      <c r="M23" s="14"/>
      <c r="O23" s="15"/>
      <c r="P23" s="15"/>
      <c r="Q23" s="13">
        <v>5</v>
      </c>
      <c r="R23" s="12"/>
      <c r="S23" s="14"/>
      <c r="T23" s="14"/>
    </row>
    <row r="24" spans="1:20" ht="15" customHeight="1" x14ac:dyDescent="0.3">
      <c r="A24" s="15"/>
      <c r="B24" s="15"/>
      <c r="C24" s="13">
        <v>6</v>
      </c>
      <c r="D24" s="12"/>
      <c r="E24" s="14"/>
      <c r="F24" s="14"/>
      <c r="H24" s="15"/>
      <c r="I24" s="15"/>
      <c r="J24" s="13">
        <v>6</v>
      </c>
      <c r="K24" s="12"/>
      <c r="L24" s="14"/>
      <c r="M24" s="14"/>
      <c r="O24" s="15"/>
      <c r="P24" s="15"/>
      <c r="Q24" s="13">
        <v>6</v>
      </c>
      <c r="R24" s="12"/>
      <c r="S24" s="14"/>
      <c r="T24" s="14"/>
    </row>
    <row r="25" spans="1:20" ht="15" customHeight="1" x14ac:dyDescent="0.3">
      <c r="A25" s="15"/>
      <c r="B25" s="15"/>
      <c r="C25" s="13">
        <v>7</v>
      </c>
      <c r="D25" s="12"/>
      <c r="E25" s="14"/>
      <c r="F25" s="14"/>
      <c r="H25" s="15"/>
      <c r="I25" s="15"/>
      <c r="J25" s="13">
        <v>7</v>
      </c>
      <c r="K25" s="12"/>
      <c r="L25" s="14"/>
      <c r="M25" s="14"/>
      <c r="O25" s="15"/>
      <c r="P25" s="15"/>
      <c r="Q25" s="13">
        <v>7</v>
      </c>
      <c r="R25" s="12"/>
      <c r="S25" s="14"/>
      <c r="T25" s="14"/>
    </row>
    <row r="26" spans="1:20" ht="15" customHeight="1" x14ac:dyDescent="0.3">
      <c r="A26" s="15"/>
      <c r="B26" s="15"/>
      <c r="C26" s="13">
        <v>8</v>
      </c>
      <c r="D26" s="12"/>
      <c r="E26" s="14"/>
      <c r="F26" s="14"/>
      <c r="H26" s="15"/>
      <c r="I26" s="15"/>
      <c r="J26" s="13">
        <v>8</v>
      </c>
      <c r="K26" s="12"/>
      <c r="L26" s="14"/>
      <c r="M26" s="14"/>
      <c r="O26" s="15"/>
      <c r="P26" s="15"/>
      <c r="Q26" s="13">
        <v>8</v>
      </c>
      <c r="R26" s="12"/>
      <c r="S26" s="14"/>
      <c r="T26" s="14"/>
    </row>
    <row r="27" spans="1:20" ht="15" customHeight="1" x14ac:dyDescent="0.3">
      <c r="A27" s="15"/>
      <c r="B27" s="15"/>
      <c r="C27" s="13">
        <v>9</v>
      </c>
      <c r="D27" s="12"/>
      <c r="E27" s="14"/>
      <c r="F27" s="14"/>
      <c r="H27" s="15"/>
      <c r="I27" s="15"/>
      <c r="J27" s="13">
        <v>9</v>
      </c>
      <c r="K27" s="12"/>
      <c r="L27" s="14"/>
      <c r="M27" s="14"/>
      <c r="O27" s="15"/>
      <c r="P27" s="15"/>
      <c r="Q27" s="13">
        <v>9</v>
      </c>
      <c r="R27" s="12"/>
      <c r="S27" s="14"/>
      <c r="T27" s="14"/>
    </row>
    <row r="28" spans="1:20" ht="15" customHeight="1" x14ac:dyDescent="0.3">
      <c r="A28" s="15"/>
      <c r="B28" s="15"/>
      <c r="C28" s="13">
        <v>10</v>
      </c>
      <c r="D28" s="12"/>
      <c r="E28" s="14"/>
      <c r="F28" s="14"/>
      <c r="H28" s="15"/>
      <c r="I28" s="15"/>
      <c r="J28" s="13">
        <v>10</v>
      </c>
      <c r="K28" s="12"/>
      <c r="L28" s="14"/>
      <c r="M28" s="14"/>
      <c r="O28" s="15"/>
      <c r="P28" s="15"/>
      <c r="Q28" s="13">
        <v>10</v>
      </c>
      <c r="R28" s="12"/>
      <c r="S28" s="14"/>
      <c r="T28" s="14"/>
    </row>
    <row r="29" spans="1:20" ht="15" customHeight="1" x14ac:dyDescent="0.3">
      <c r="A29" s="15"/>
      <c r="B29" s="15"/>
      <c r="C29" s="13">
        <v>11</v>
      </c>
      <c r="D29" s="12"/>
      <c r="E29" s="14"/>
      <c r="F29" s="14"/>
      <c r="H29" s="15"/>
      <c r="I29" s="15"/>
      <c r="J29" s="13">
        <v>11</v>
      </c>
      <c r="K29" s="12"/>
      <c r="L29" s="14"/>
      <c r="M29" s="14"/>
      <c r="O29" s="15"/>
      <c r="P29" s="15"/>
      <c r="Q29" s="13">
        <v>11</v>
      </c>
      <c r="R29" s="12"/>
      <c r="S29" s="14"/>
      <c r="T29" s="14"/>
    </row>
    <row r="30" spans="1:20" ht="15" customHeight="1" x14ac:dyDescent="0.3">
      <c r="A30" s="15"/>
      <c r="B30" s="15"/>
      <c r="C30" s="13">
        <v>12</v>
      </c>
      <c r="D30" s="12"/>
      <c r="E30" s="14"/>
      <c r="F30" s="14"/>
      <c r="H30" s="15"/>
      <c r="I30" s="15"/>
      <c r="J30" s="13">
        <v>12</v>
      </c>
      <c r="K30" s="12"/>
      <c r="L30" s="14"/>
      <c r="M30" s="14"/>
      <c r="O30" s="15"/>
      <c r="P30" s="15"/>
      <c r="Q30" s="13">
        <v>12</v>
      </c>
      <c r="R30" s="12"/>
      <c r="S30" s="14"/>
      <c r="T30" s="14"/>
    </row>
    <row r="31" spans="1:20" ht="15" customHeight="1" x14ac:dyDescent="0.3">
      <c r="A31" s="15"/>
      <c r="B31" s="15"/>
      <c r="C31" s="13">
        <v>13</v>
      </c>
      <c r="D31" s="12"/>
      <c r="E31" s="14"/>
      <c r="F31" s="14"/>
      <c r="H31" s="15"/>
      <c r="I31" s="15"/>
      <c r="J31" s="13">
        <v>13</v>
      </c>
      <c r="K31" s="12"/>
      <c r="L31" s="14"/>
      <c r="M31" s="14"/>
      <c r="O31" s="15"/>
      <c r="P31" s="15"/>
      <c r="Q31" s="13">
        <v>13</v>
      </c>
      <c r="R31" s="12"/>
      <c r="S31" s="14"/>
      <c r="T31" s="14"/>
    </row>
    <row r="32" spans="1:20" ht="15" customHeight="1" x14ac:dyDescent="0.3">
      <c r="A32" s="15"/>
      <c r="B32" s="15"/>
      <c r="C32" s="13">
        <v>14</v>
      </c>
      <c r="D32" s="12"/>
      <c r="E32" s="14"/>
      <c r="F32" s="14"/>
      <c r="H32" s="15"/>
      <c r="I32" s="15"/>
      <c r="J32" s="13">
        <v>14</v>
      </c>
      <c r="K32" s="12"/>
      <c r="L32" s="14"/>
      <c r="M32" s="14"/>
      <c r="O32" s="15"/>
      <c r="P32" s="15"/>
      <c r="Q32" s="13">
        <v>14</v>
      </c>
      <c r="R32" s="12"/>
      <c r="S32" s="14"/>
      <c r="T32" s="14"/>
    </row>
    <row r="33" spans="1:20" ht="15" customHeight="1" x14ac:dyDescent="0.3">
      <c r="A33" s="15"/>
      <c r="B33" s="15"/>
      <c r="C33" s="13">
        <v>15</v>
      </c>
      <c r="D33" s="12"/>
      <c r="E33" s="14"/>
      <c r="F33" s="14"/>
      <c r="H33" s="15"/>
      <c r="I33" s="15"/>
      <c r="J33" s="13">
        <v>15</v>
      </c>
      <c r="K33" s="12"/>
      <c r="L33" s="14"/>
      <c r="M33" s="14"/>
      <c r="O33" s="15"/>
      <c r="P33" s="15"/>
      <c r="Q33" s="13">
        <v>15</v>
      </c>
      <c r="R33" s="12"/>
      <c r="S33" s="14"/>
      <c r="T33" s="14"/>
    </row>
    <row r="35" spans="1:20" ht="15" customHeight="1" x14ac:dyDescent="0.3">
      <c r="A35" s="11" t="s">
        <v>68</v>
      </c>
      <c r="B35" s="15" t="s">
        <v>70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</row>
  </sheetData>
  <mergeCells count="25">
    <mergeCell ref="L19:L33"/>
    <mergeCell ref="M19:M33"/>
    <mergeCell ref="B35:T35"/>
    <mergeCell ref="O19:O33"/>
    <mergeCell ref="P19:P33"/>
    <mergeCell ref="S19:S33"/>
    <mergeCell ref="T19:T33"/>
    <mergeCell ref="I19:I33"/>
    <mergeCell ref="A19:A33"/>
    <mergeCell ref="B19:B33"/>
    <mergeCell ref="E19:E33"/>
    <mergeCell ref="F19:F33"/>
    <mergeCell ref="H19:H33"/>
    <mergeCell ref="T2:T16"/>
    <mergeCell ref="A2:A16"/>
    <mergeCell ref="B2:B16"/>
    <mergeCell ref="E2:E16"/>
    <mergeCell ref="F2:F16"/>
    <mergeCell ref="H2:H16"/>
    <mergeCell ref="I2:I16"/>
    <mergeCell ref="L2:L16"/>
    <mergeCell ref="M2:M16"/>
    <mergeCell ref="O2:O16"/>
    <mergeCell ref="P2:P16"/>
    <mergeCell ref="S2:S16"/>
  </mergeCells>
  <phoneticPr fontId="1" type="noConversion"/>
  <conditionalFormatting sqref="D2:D1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D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1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38045-C147-418A-AA54-5DE7BD0CF2C2}">
  <dimension ref="A1:P14"/>
  <sheetViews>
    <sheetView workbookViewId="0">
      <selection activeCell="K5" sqref="K5"/>
    </sheetView>
  </sheetViews>
  <sheetFormatPr defaultColWidth="10.75" defaultRowHeight="20.149999999999999" customHeight="1" x14ac:dyDescent="0.3"/>
  <cols>
    <col min="1" max="16384" width="10.75" style="3"/>
  </cols>
  <sheetData>
    <row r="1" spans="1:16" ht="20.149999999999999" customHeight="1" x14ac:dyDescent="0.3">
      <c r="A1" s="7" t="s">
        <v>55</v>
      </c>
      <c r="B1" s="7">
        <v>0</v>
      </c>
      <c r="C1" s="7">
        <v>1.2</v>
      </c>
      <c r="D1" s="7">
        <v>2.2000000000000002</v>
      </c>
      <c r="E1" s="7">
        <f>D1+0.4</f>
        <v>2.6</v>
      </c>
      <c r="F1" s="7">
        <f t="shared" ref="F1:N1" si="0">E1+0.4</f>
        <v>3</v>
      </c>
      <c r="G1" s="7">
        <f t="shared" si="0"/>
        <v>3.4</v>
      </c>
      <c r="H1" s="7">
        <f t="shared" si="0"/>
        <v>3.8</v>
      </c>
      <c r="I1" s="8">
        <f t="shared" si="0"/>
        <v>4.2</v>
      </c>
      <c r="J1" s="7">
        <f t="shared" si="0"/>
        <v>4.6000000000000005</v>
      </c>
      <c r="K1" s="7">
        <f t="shared" si="0"/>
        <v>5.0000000000000009</v>
      </c>
      <c r="L1" s="7">
        <f t="shared" si="0"/>
        <v>5.4000000000000012</v>
      </c>
      <c r="M1" s="7">
        <f t="shared" si="0"/>
        <v>5.8000000000000016</v>
      </c>
      <c r="N1" s="7">
        <f t="shared" si="0"/>
        <v>6.200000000000002</v>
      </c>
      <c r="O1" s="7">
        <v>7.2</v>
      </c>
      <c r="P1" s="7">
        <v>8.4</v>
      </c>
    </row>
    <row r="2" spans="1:16" ht="20.149999999999999" customHeight="1" x14ac:dyDescent="0.3">
      <c r="A2" s="7">
        <v>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6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</row>
    <row r="3" spans="1:16" ht="20.149999999999999" customHeight="1" x14ac:dyDescent="0.3">
      <c r="A3" s="7">
        <v>0.4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6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</row>
    <row r="4" spans="1:16" ht="20.149999999999999" customHeight="1" x14ac:dyDescent="0.3">
      <c r="A4" s="7">
        <f t="shared" ref="A4:A13" si="1">A3+0.4</f>
        <v>0.8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6">
        <v>0</v>
      </c>
      <c r="J4" s="5">
        <v>0</v>
      </c>
      <c r="K4" s="5">
        <v>0</v>
      </c>
      <c r="L4" s="5">
        <v>0.28699999999999998</v>
      </c>
      <c r="M4" s="5">
        <v>0</v>
      </c>
      <c r="N4" s="5">
        <v>0</v>
      </c>
      <c r="O4" s="5">
        <v>0</v>
      </c>
      <c r="P4" s="5">
        <v>0</v>
      </c>
    </row>
    <row r="5" spans="1:16" ht="20.149999999999999" customHeight="1" x14ac:dyDescent="0.3">
      <c r="A5" s="7">
        <f t="shared" si="1"/>
        <v>1.2000000000000002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0.22500000000000001</v>
      </c>
      <c r="H5" s="5">
        <v>0.55600000000000005</v>
      </c>
      <c r="I5" s="6">
        <v>0</v>
      </c>
      <c r="J5" s="5">
        <v>0</v>
      </c>
      <c r="K5" s="5">
        <v>0.123</v>
      </c>
      <c r="L5" s="5">
        <v>0</v>
      </c>
      <c r="M5" s="5">
        <v>0</v>
      </c>
      <c r="N5" s="5">
        <v>0.152</v>
      </c>
      <c r="O5" s="5">
        <v>0</v>
      </c>
      <c r="P5" s="5">
        <v>0</v>
      </c>
    </row>
    <row r="6" spans="1:16" ht="20.149999999999999" customHeight="1" x14ac:dyDescent="0.3">
      <c r="A6" s="7">
        <f t="shared" si="1"/>
        <v>1.6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0.25</v>
      </c>
      <c r="H6" s="5">
        <v>0.80400000000000005</v>
      </c>
      <c r="I6" s="6">
        <v>0.115</v>
      </c>
      <c r="J6" s="5">
        <v>8.4000000000000005E-2</v>
      </c>
      <c r="K6" s="5">
        <v>0.157</v>
      </c>
      <c r="L6" s="5">
        <v>0.13600000000000001</v>
      </c>
      <c r="M6" s="5">
        <v>6.2E-2</v>
      </c>
      <c r="N6" s="5">
        <v>0</v>
      </c>
      <c r="O6" s="5">
        <v>0</v>
      </c>
      <c r="P6" s="5">
        <v>0</v>
      </c>
    </row>
    <row r="7" spans="1:16" ht="20.149999999999999" customHeight="1" x14ac:dyDescent="0.3">
      <c r="A7" s="7">
        <f t="shared" si="1"/>
        <v>2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0.23799999999999999</v>
      </c>
      <c r="H7" s="5">
        <v>0.98599999999999999</v>
      </c>
      <c r="I7" s="6">
        <v>2.25</v>
      </c>
      <c r="J7" s="5">
        <v>2.5129999999999999</v>
      </c>
      <c r="K7" s="5">
        <v>0.54200000000000004</v>
      </c>
      <c r="L7" s="5">
        <v>0</v>
      </c>
      <c r="M7" s="5">
        <v>0.10199999999999999</v>
      </c>
      <c r="N7" s="5">
        <v>0</v>
      </c>
      <c r="O7" s="5">
        <v>0</v>
      </c>
      <c r="P7" s="5">
        <v>0</v>
      </c>
    </row>
    <row r="8" spans="1:16" ht="20.149999999999999" customHeight="1" x14ac:dyDescent="0.3">
      <c r="A8" s="8">
        <f t="shared" si="1"/>
        <v>2.4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0.58799999999999997</v>
      </c>
      <c r="H8" s="6">
        <v>2.2519999999999998</v>
      </c>
      <c r="I8" s="6">
        <v>0.93200000000000005</v>
      </c>
      <c r="J8" s="6">
        <v>2.5299999999999998</v>
      </c>
      <c r="K8" s="6">
        <v>1.3220000000000001</v>
      </c>
      <c r="L8" s="6">
        <v>0</v>
      </c>
      <c r="M8" s="6">
        <v>0</v>
      </c>
      <c r="N8" s="6">
        <v>0</v>
      </c>
      <c r="O8" s="6">
        <v>0</v>
      </c>
      <c r="P8" s="6">
        <v>0</v>
      </c>
    </row>
    <row r="9" spans="1:16" ht="20.149999999999999" customHeight="1" x14ac:dyDescent="0.3">
      <c r="A9" s="7">
        <f t="shared" si="1"/>
        <v>2.8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0.86</v>
      </c>
      <c r="H9" s="5">
        <v>3.6909999999999998</v>
      </c>
      <c r="I9" s="6">
        <v>2.2200000000000002</v>
      </c>
      <c r="J9" s="5">
        <v>0.89500000000000002</v>
      </c>
      <c r="K9" s="5">
        <v>0.68400000000000005</v>
      </c>
      <c r="L9" s="5">
        <v>0.16300000000000001</v>
      </c>
      <c r="M9" s="5">
        <v>0</v>
      </c>
      <c r="N9" s="5">
        <v>0</v>
      </c>
      <c r="O9" s="5">
        <v>0</v>
      </c>
      <c r="P9" s="5">
        <v>0</v>
      </c>
    </row>
    <row r="10" spans="1:16" ht="20.149999999999999" customHeight="1" x14ac:dyDescent="0.3">
      <c r="A10" s="7">
        <f t="shared" si="1"/>
        <v>3.1999999999999997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0.53500000000000003</v>
      </c>
      <c r="H10" s="5">
        <v>0.55500000000000005</v>
      </c>
      <c r="I10" s="6">
        <v>0.57099999999999995</v>
      </c>
      <c r="J10" s="5">
        <v>0.51200000000000001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</row>
    <row r="11" spans="1:16" ht="20.149999999999999" customHeight="1" x14ac:dyDescent="0.3">
      <c r="A11" s="7">
        <f t="shared" si="1"/>
        <v>3.5999999999999996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6">
        <v>7.2999999999999995E-2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</row>
    <row r="12" spans="1:16" ht="20.149999999999999" customHeight="1" x14ac:dyDescent="0.3">
      <c r="A12" s="7">
        <f t="shared" si="1"/>
        <v>3.9999999999999996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6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</row>
    <row r="13" spans="1:16" ht="20.149999999999999" customHeight="1" x14ac:dyDescent="0.3">
      <c r="A13" s="7">
        <f t="shared" si="1"/>
        <v>4.3999999999999995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6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</row>
    <row r="14" spans="1:16" ht="20.149999999999999" customHeight="1" x14ac:dyDescent="0.3">
      <c r="A14" s="7">
        <v>4.8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6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</row>
  </sheetData>
  <phoneticPr fontId="1" type="noConversion"/>
  <conditionalFormatting sqref="B2:P1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AD1B9-6E58-40DE-AE2F-F5B2FA191194}">
  <dimension ref="A1:T33"/>
  <sheetViews>
    <sheetView zoomScale="85" zoomScaleNormal="85" workbookViewId="0">
      <selection activeCell="L41" sqref="L41"/>
    </sheetView>
  </sheetViews>
  <sheetFormatPr defaultColWidth="10.75" defaultRowHeight="15" customHeight="1" x14ac:dyDescent="0.3"/>
  <cols>
    <col min="1" max="16384" width="10.75" style="10"/>
  </cols>
  <sheetData>
    <row r="1" spans="1:20" ht="15" customHeight="1" x14ac:dyDescent="0.3">
      <c r="A1" s="11" t="s">
        <v>62</v>
      </c>
      <c r="B1" s="11" t="s">
        <v>63</v>
      </c>
      <c r="C1" s="11" t="s">
        <v>64</v>
      </c>
      <c r="D1" s="11" t="s">
        <v>65</v>
      </c>
      <c r="E1" s="11" t="s">
        <v>66</v>
      </c>
      <c r="F1" s="11" t="s">
        <v>67</v>
      </c>
      <c r="H1" s="11" t="s">
        <v>62</v>
      </c>
      <c r="I1" s="11" t="s">
        <v>63</v>
      </c>
      <c r="J1" s="11" t="s">
        <v>64</v>
      </c>
      <c r="K1" s="11" t="s">
        <v>65</v>
      </c>
      <c r="L1" s="11" t="s">
        <v>66</v>
      </c>
      <c r="M1" s="11" t="s">
        <v>67</v>
      </c>
      <c r="O1" s="11" t="s">
        <v>62</v>
      </c>
      <c r="P1" s="11" t="s">
        <v>63</v>
      </c>
      <c r="Q1" s="11" t="s">
        <v>64</v>
      </c>
      <c r="R1" s="11" t="s">
        <v>65</v>
      </c>
      <c r="S1" s="11" t="s">
        <v>66</v>
      </c>
      <c r="T1" s="11" t="s">
        <v>67</v>
      </c>
    </row>
    <row r="2" spans="1:20" ht="15" customHeight="1" x14ac:dyDescent="0.3">
      <c r="A2" s="15">
        <v>4.5999999999999996</v>
      </c>
      <c r="B2" s="15">
        <v>2.4</v>
      </c>
      <c r="C2" s="13">
        <v>1</v>
      </c>
      <c r="D2" s="12">
        <v>2.5169999999999999</v>
      </c>
      <c r="E2" s="14">
        <f>AVERAGE(D2:D16)</f>
        <v>2.5303333333333327</v>
      </c>
      <c r="F2" s="14">
        <f>_xlfn.VAR.S(D2:D16)</f>
        <v>5.6264380952380948E-2</v>
      </c>
      <c r="H2" s="15">
        <v>3.8</v>
      </c>
      <c r="I2" s="15">
        <v>2.4</v>
      </c>
      <c r="J2" s="13">
        <v>1</v>
      </c>
      <c r="K2" s="12">
        <v>1.9239999999999999</v>
      </c>
      <c r="L2" s="14">
        <f>AVERAGE(K2:K16)</f>
        <v>2.2519333333333336</v>
      </c>
      <c r="M2" s="14">
        <f>_xlfn.VAR.S(K2:K16)</f>
        <v>9.8003780952379119E-2</v>
      </c>
      <c r="O2" s="15">
        <v>4.2</v>
      </c>
      <c r="P2" s="15">
        <v>1.6</v>
      </c>
      <c r="Q2" s="13">
        <v>1</v>
      </c>
      <c r="R2" s="12">
        <v>0.12</v>
      </c>
      <c r="S2" s="14">
        <f>AVERAGE(R2:R16)</f>
        <v>0.11526666666666664</v>
      </c>
      <c r="T2" s="14">
        <f>_xlfn.VAR.S(R2:R16)</f>
        <v>9.5369238095238118E-3</v>
      </c>
    </row>
    <row r="3" spans="1:20" ht="15" customHeight="1" x14ac:dyDescent="0.3">
      <c r="A3" s="15"/>
      <c r="B3" s="15"/>
      <c r="C3" s="13">
        <v>2</v>
      </c>
      <c r="D3" s="12">
        <v>2.1230000000000002</v>
      </c>
      <c r="E3" s="14"/>
      <c r="F3" s="14"/>
      <c r="H3" s="15"/>
      <c r="I3" s="15"/>
      <c r="J3" s="13">
        <v>2</v>
      </c>
      <c r="K3" s="12">
        <v>2.262</v>
      </c>
      <c r="L3" s="14"/>
      <c r="M3" s="14"/>
      <c r="O3" s="15"/>
      <c r="P3" s="15"/>
      <c r="Q3" s="13">
        <v>2</v>
      </c>
      <c r="R3" s="12">
        <v>0.218</v>
      </c>
      <c r="S3" s="14"/>
      <c r="T3" s="14"/>
    </row>
    <row r="4" spans="1:20" ht="15" customHeight="1" x14ac:dyDescent="0.3">
      <c r="A4" s="15"/>
      <c r="B4" s="15"/>
      <c r="C4" s="13">
        <v>3</v>
      </c>
      <c r="D4" s="12">
        <v>2.1019999999999999</v>
      </c>
      <c r="E4" s="14"/>
      <c r="F4" s="14"/>
      <c r="H4" s="15"/>
      <c r="I4" s="15"/>
      <c r="J4" s="13">
        <v>3</v>
      </c>
      <c r="K4" s="12">
        <v>1.9710000000000001</v>
      </c>
      <c r="L4" s="14"/>
      <c r="M4" s="14"/>
      <c r="O4" s="15"/>
      <c r="P4" s="15"/>
      <c r="Q4" s="13">
        <v>3</v>
      </c>
      <c r="R4" s="12">
        <v>0.189</v>
      </c>
      <c r="S4" s="14"/>
      <c r="T4" s="14"/>
    </row>
    <row r="5" spans="1:20" ht="15" customHeight="1" x14ac:dyDescent="0.3">
      <c r="A5" s="15"/>
      <c r="B5" s="15"/>
      <c r="C5" s="13">
        <v>4</v>
      </c>
      <c r="D5" s="12">
        <v>2.3050000000000002</v>
      </c>
      <c r="E5" s="14"/>
      <c r="F5" s="14"/>
      <c r="H5" s="15"/>
      <c r="I5" s="15"/>
      <c r="J5" s="13">
        <v>4</v>
      </c>
      <c r="K5" s="12">
        <v>2.5339999999999998</v>
      </c>
      <c r="L5" s="14"/>
      <c r="M5" s="14"/>
      <c r="O5" s="15"/>
      <c r="P5" s="15"/>
      <c r="Q5" s="13">
        <v>4</v>
      </c>
      <c r="R5" s="12">
        <v>0.16400000000000001</v>
      </c>
      <c r="S5" s="14"/>
      <c r="T5" s="14"/>
    </row>
    <row r="6" spans="1:20" ht="15" customHeight="1" x14ac:dyDescent="0.3">
      <c r="A6" s="15"/>
      <c r="B6" s="15"/>
      <c r="C6" s="13">
        <v>5</v>
      </c>
      <c r="D6" s="12">
        <v>2.6440000000000001</v>
      </c>
      <c r="E6" s="14"/>
      <c r="F6" s="14"/>
      <c r="H6" s="15"/>
      <c r="I6" s="15"/>
      <c r="J6" s="13">
        <v>5</v>
      </c>
      <c r="K6" s="12">
        <v>2.0840000000000001</v>
      </c>
      <c r="L6" s="14"/>
      <c r="M6" s="14"/>
      <c r="O6" s="15"/>
      <c r="P6" s="15"/>
      <c r="Q6" s="13">
        <v>5</v>
      </c>
      <c r="R6" s="12">
        <v>7.4999999999999997E-2</v>
      </c>
      <c r="S6" s="14"/>
      <c r="T6" s="14"/>
    </row>
    <row r="7" spans="1:20" ht="15" customHeight="1" x14ac:dyDescent="0.3">
      <c r="A7" s="15"/>
      <c r="B7" s="15"/>
      <c r="C7" s="13">
        <v>6</v>
      </c>
      <c r="D7" s="12">
        <v>2.3679999999999999</v>
      </c>
      <c r="E7" s="14"/>
      <c r="F7" s="14"/>
      <c r="H7" s="15"/>
      <c r="I7" s="15"/>
      <c r="J7" s="13">
        <v>6</v>
      </c>
      <c r="K7" s="12">
        <v>1.635</v>
      </c>
      <c r="L7" s="14"/>
      <c r="M7" s="14"/>
      <c r="O7" s="15"/>
      <c r="P7" s="15"/>
      <c r="Q7" s="13">
        <v>6</v>
      </c>
      <c r="R7" s="12">
        <v>2.5000000000000001E-2</v>
      </c>
      <c r="S7" s="14"/>
      <c r="T7" s="14"/>
    </row>
    <row r="8" spans="1:20" ht="15" customHeight="1" x14ac:dyDescent="0.3">
      <c r="A8" s="15"/>
      <c r="B8" s="15"/>
      <c r="C8" s="13">
        <v>7</v>
      </c>
      <c r="D8" s="12">
        <v>2.8660000000000001</v>
      </c>
      <c r="E8" s="14"/>
      <c r="F8" s="14"/>
      <c r="H8" s="15"/>
      <c r="I8" s="15"/>
      <c r="J8" s="13">
        <v>7</v>
      </c>
      <c r="K8" s="12">
        <v>2.5169999999999999</v>
      </c>
      <c r="L8" s="14"/>
      <c r="M8" s="14"/>
      <c r="O8" s="15"/>
      <c r="P8" s="15"/>
      <c r="Q8" s="13">
        <v>7</v>
      </c>
      <c r="R8" s="12">
        <v>9.6000000000000002E-2</v>
      </c>
      <c r="S8" s="14"/>
      <c r="T8" s="14"/>
    </row>
    <row r="9" spans="1:20" ht="15" customHeight="1" x14ac:dyDescent="0.3">
      <c r="A9" s="15"/>
      <c r="B9" s="15"/>
      <c r="C9" s="13">
        <v>8</v>
      </c>
      <c r="D9" s="12">
        <v>2.9289999999999998</v>
      </c>
      <c r="E9" s="14"/>
      <c r="F9" s="14"/>
      <c r="H9" s="15"/>
      <c r="I9" s="15"/>
      <c r="J9" s="13">
        <v>8</v>
      </c>
      <c r="K9" s="12">
        <v>2.0030000000000001</v>
      </c>
      <c r="L9" s="14"/>
      <c r="M9" s="14"/>
      <c r="O9" s="15"/>
      <c r="P9" s="15"/>
      <c r="Q9" s="13">
        <v>8</v>
      </c>
      <c r="R9" s="12">
        <v>0.35899999999999999</v>
      </c>
      <c r="S9" s="14"/>
      <c r="T9" s="14"/>
    </row>
    <row r="10" spans="1:20" ht="15" customHeight="1" x14ac:dyDescent="0.3">
      <c r="A10" s="15"/>
      <c r="B10" s="15"/>
      <c r="C10" s="13">
        <v>9</v>
      </c>
      <c r="D10" s="12">
        <v>2.4580000000000002</v>
      </c>
      <c r="E10" s="14"/>
      <c r="F10" s="14"/>
      <c r="H10" s="15"/>
      <c r="I10" s="15"/>
      <c r="J10" s="13">
        <v>9</v>
      </c>
      <c r="K10" s="12">
        <v>2.649</v>
      </c>
      <c r="L10" s="14"/>
      <c r="M10" s="14"/>
      <c r="O10" s="15"/>
      <c r="P10" s="15"/>
      <c r="Q10" s="13">
        <v>9</v>
      </c>
      <c r="R10" s="12">
        <v>0.19800000000000001</v>
      </c>
      <c r="S10" s="14"/>
      <c r="T10" s="14"/>
    </row>
    <row r="11" spans="1:20" ht="15" customHeight="1" x14ac:dyDescent="0.3">
      <c r="A11" s="15"/>
      <c r="B11" s="15"/>
      <c r="C11" s="13">
        <v>10</v>
      </c>
      <c r="D11" s="12">
        <v>2.4660000000000002</v>
      </c>
      <c r="E11" s="14"/>
      <c r="F11" s="14"/>
      <c r="H11" s="15"/>
      <c r="I11" s="15"/>
      <c r="J11" s="13">
        <v>10</v>
      </c>
      <c r="K11" s="12">
        <v>2.4239999999999999</v>
      </c>
      <c r="L11" s="14"/>
      <c r="M11" s="14"/>
      <c r="O11" s="15"/>
      <c r="P11" s="15"/>
      <c r="Q11" s="13">
        <v>10</v>
      </c>
      <c r="R11" s="12">
        <v>9.7000000000000003E-2</v>
      </c>
      <c r="S11" s="14"/>
      <c r="T11" s="14"/>
    </row>
    <row r="12" spans="1:20" ht="15" customHeight="1" x14ac:dyDescent="0.3">
      <c r="A12" s="15"/>
      <c r="B12" s="15"/>
      <c r="C12" s="13">
        <v>11</v>
      </c>
      <c r="D12" s="12">
        <v>2.6829999999999998</v>
      </c>
      <c r="E12" s="14"/>
      <c r="F12" s="14"/>
      <c r="H12" s="15"/>
      <c r="I12" s="15"/>
      <c r="J12" s="13">
        <v>11</v>
      </c>
      <c r="K12" s="12">
        <v>2.5379999999999998</v>
      </c>
      <c r="L12" s="14"/>
      <c r="M12" s="14"/>
      <c r="O12" s="15"/>
      <c r="P12" s="15"/>
      <c r="Q12" s="13">
        <v>11</v>
      </c>
      <c r="R12" s="12">
        <v>2.5000000000000001E-2</v>
      </c>
      <c r="S12" s="14"/>
      <c r="T12" s="14"/>
    </row>
    <row r="13" spans="1:20" ht="15" customHeight="1" x14ac:dyDescent="0.3">
      <c r="A13" s="15"/>
      <c r="B13" s="15"/>
      <c r="C13" s="13">
        <v>12</v>
      </c>
      <c r="D13" s="12">
        <v>2.6920000000000002</v>
      </c>
      <c r="E13" s="14"/>
      <c r="F13" s="14"/>
      <c r="H13" s="15"/>
      <c r="I13" s="15"/>
      <c r="J13" s="13">
        <v>12</v>
      </c>
      <c r="K13" s="12">
        <v>2.2410000000000001</v>
      </c>
      <c r="L13" s="14"/>
      <c r="M13" s="14"/>
      <c r="O13" s="15"/>
      <c r="P13" s="15"/>
      <c r="Q13" s="13">
        <v>12</v>
      </c>
      <c r="R13" s="12">
        <v>0.11700000000000001</v>
      </c>
      <c r="S13" s="14"/>
      <c r="T13" s="14"/>
    </row>
    <row r="14" spans="1:20" ht="15" customHeight="1" x14ac:dyDescent="0.3">
      <c r="A14" s="15"/>
      <c r="B14" s="15"/>
      <c r="C14" s="13">
        <v>13</v>
      </c>
      <c r="D14" s="12">
        <v>2.6320000000000001</v>
      </c>
      <c r="E14" s="14"/>
      <c r="F14" s="14"/>
      <c r="H14" s="15"/>
      <c r="I14" s="15"/>
      <c r="J14" s="13">
        <v>13</v>
      </c>
      <c r="K14" s="12">
        <v>2.407</v>
      </c>
      <c r="L14" s="14"/>
      <c r="M14" s="14"/>
      <c r="O14" s="15"/>
      <c r="P14" s="15"/>
      <c r="Q14" s="13">
        <v>13</v>
      </c>
      <c r="R14" s="12">
        <v>6.0000000000000001E-3</v>
      </c>
      <c r="S14" s="14"/>
      <c r="T14" s="14"/>
    </row>
    <row r="15" spans="1:20" ht="15" customHeight="1" x14ac:dyDescent="0.3">
      <c r="A15" s="15"/>
      <c r="B15" s="15"/>
      <c r="C15" s="13">
        <v>14</v>
      </c>
      <c r="D15" s="12">
        <v>2.6110000000000002</v>
      </c>
      <c r="E15" s="14"/>
      <c r="F15" s="14"/>
      <c r="H15" s="15"/>
      <c r="I15" s="15"/>
      <c r="J15" s="13">
        <v>14</v>
      </c>
      <c r="K15" s="12">
        <v>2.661</v>
      </c>
      <c r="L15" s="14"/>
      <c r="M15" s="14"/>
      <c r="O15" s="15"/>
      <c r="P15" s="15"/>
      <c r="Q15" s="13">
        <v>14</v>
      </c>
      <c r="R15" s="12">
        <v>2.9000000000000001E-2</v>
      </c>
      <c r="S15" s="14"/>
      <c r="T15" s="14"/>
    </row>
    <row r="16" spans="1:20" ht="15" customHeight="1" x14ac:dyDescent="0.3">
      <c r="A16" s="15"/>
      <c r="B16" s="15"/>
      <c r="C16" s="13">
        <v>15</v>
      </c>
      <c r="D16" s="12">
        <v>2.5590000000000002</v>
      </c>
      <c r="E16" s="14"/>
      <c r="F16" s="14"/>
      <c r="H16" s="15"/>
      <c r="I16" s="15"/>
      <c r="J16" s="13">
        <v>15</v>
      </c>
      <c r="K16" s="12">
        <v>1.929</v>
      </c>
      <c r="L16" s="14"/>
      <c r="M16" s="14"/>
      <c r="O16" s="15"/>
      <c r="P16" s="15"/>
      <c r="Q16" s="13">
        <v>15</v>
      </c>
      <c r="R16" s="12">
        <v>1.0999999999999999E-2</v>
      </c>
      <c r="S16" s="14"/>
      <c r="T16" s="14"/>
    </row>
    <row r="18" spans="1:20" ht="15" customHeight="1" x14ac:dyDescent="0.3">
      <c r="A18" s="11" t="s">
        <v>62</v>
      </c>
      <c r="B18" s="11" t="s">
        <v>63</v>
      </c>
      <c r="C18" s="11" t="s">
        <v>64</v>
      </c>
      <c r="D18" s="11" t="s">
        <v>65</v>
      </c>
      <c r="E18" s="11" t="s">
        <v>66</v>
      </c>
      <c r="F18" s="11" t="s">
        <v>67</v>
      </c>
      <c r="H18" s="11" t="s">
        <v>62</v>
      </c>
      <c r="I18" s="11" t="s">
        <v>63</v>
      </c>
      <c r="J18" s="11" t="s">
        <v>64</v>
      </c>
      <c r="K18" s="11" t="s">
        <v>65</v>
      </c>
      <c r="L18" s="11" t="s">
        <v>66</v>
      </c>
      <c r="M18" s="11" t="s">
        <v>67</v>
      </c>
      <c r="O18" s="11" t="s">
        <v>62</v>
      </c>
      <c r="P18" s="11" t="s">
        <v>63</v>
      </c>
      <c r="Q18" s="11" t="s">
        <v>64</v>
      </c>
      <c r="R18" s="11" t="s">
        <v>65</v>
      </c>
      <c r="S18" s="11" t="s">
        <v>66</v>
      </c>
      <c r="T18" s="11" t="s">
        <v>67</v>
      </c>
    </row>
    <row r="19" spans="1:20" ht="15" customHeight="1" x14ac:dyDescent="0.3">
      <c r="A19" s="15">
        <v>3.8</v>
      </c>
      <c r="B19" s="15">
        <v>3.2</v>
      </c>
      <c r="C19" s="13">
        <v>1</v>
      </c>
      <c r="D19" s="12">
        <v>0.58199999999999996</v>
      </c>
      <c r="E19" s="14">
        <f>AVERAGE(D19:D33)</f>
        <v>0.55513333333333337</v>
      </c>
      <c r="F19" s="14">
        <f>_xlfn.VAR.S(D19:D33)</f>
        <v>7.9056952380952717E-3</v>
      </c>
      <c r="H19" s="15">
        <v>5.4</v>
      </c>
      <c r="I19" s="15">
        <v>2.8</v>
      </c>
      <c r="J19" s="13">
        <v>1</v>
      </c>
      <c r="K19" s="12">
        <v>8.4000000000000005E-2</v>
      </c>
      <c r="L19" s="14">
        <f>AVERAGE(K19:K33)</f>
        <v>0.16326666666666664</v>
      </c>
      <c r="M19" s="14">
        <f>_xlfn.VAR.S(K19:K33)</f>
        <v>1.316192380952382E-2</v>
      </c>
      <c r="O19" s="15">
        <v>5</v>
      </c>
      <c r="P19" s="15">
        <v>1.2</v>
      </c>
      <c r="Q19" s="13">
        <v>1</v>
      </c>
      <c r="R19" s="12">
        <v>0</v>
      </c>
      <c r="S19" s="14">
        <f>AVERAGE(R19:R33)</f>
        <v>0.12253333333333334</v>
      </c>
      <c r="T19" s="14">
        <f>_xlfn.VAR.S(R19:R33)</f>
        <v>1.1892980952380951E-2</v>
      </c>
    </row>
    <row r="20" spans="1:20" ht="15" customHeight="1" x14ac:dyDescent="0.3">
      <c r="A20" s="15"/>
      <c r="B20" s="15"/>
      <c r="C20" s="13">
        <v>2</v>
      </c>
      <c r="D20" s="12">
        <v>0.67200000000000004</v>
      </c>
      <c r="E20" s="14"/>
      <c r="F20" s="14"/>
      <c r="H20" s="15"/>
      <c r="I20" s="15"/>
      <c r="J20" s="13">
        <v>2</v>
      </c>
      <c r="K20" s="12">
        <v>0.23799999999999999</v>
      </c>
      <c r="L20" s="14"/>
      <c r="M20" s="14"/>
      <c r="O20" s="15"/>
      <c r="P20" s="15"/>
      <c r="Q20" s="13">
        <v>2</v>
      </c>
      <c r="R20" s="12">
        <v>4.0000000000000001E-3</v>
      </c>
      <c r="S20" s="14"/>
      <c r="T20" s="14"/>
    </row>
    <row r="21" spans="1:20" ht="15" customHeight="1" x14ac:dyDescent="0.3">
      <c r="A21" s="15"/>
      <c r="B21" s="15"/>
      <c r="C21" s="13">
        <v>3</v>
      </c>
      <c r="D21" s="12">
        <v>0.60599999999999998</v>
      </c>
      <c r="E21" s="14"/>
      <c r="F21" s="14"/>
      <c r="H21" s="15"/>
      <c r="I21" s="15"/>
      <c r="J21" s="13">
        <v>3</v>
      </c>
      <c r="K21" s="12">
        <v>0.161</v>
      </c>
      <c r="L21" s="14"/>
      <c r="M21" s="14"/>
      <c r="O21" s="15"/>
      <c r="P21" s="15"/>
      <c r="Q21" s="13">
        <v>3</v>
      </c>
      <c r="R21" s="12">
        <v>2.1000000000000001E-2</v>
      </c>
      <c r="S21" s="14"/>
      <c r="T21" s="14"/>
    </row>
    <row r="22" spans="1:20" ht="15" customHeight="1" x14ac:dyDescent="0.3">
      <c r="A22" s="15"/>
      <c r="B22" s="15"/>
      <c r="C22" s="13">
        <v>4</v>
      </c>
      <c r="D22" s="12">
        <v>0.48</v>
      </c>
      <c r="E22" s="14"/>
      <c r="F22" s="14"/>
      <c r="H22" s="15"/>
      <c r="I22" s="15"/>
      <c r="J22" s="13">
        <v>4</v>
      </c>
      <c r="K22" s="12">
        <v>0.125</v>
      </c>
      <c r="L22" s="14"/>
      <c r="M22" s="14"/>
      <c r="O22" s="15"/>
      <c r="P22" s="15"/>
      <c r="Q22" s="13">
        <v>4</v>
      </c>
      <c r="R22" s="12">
        <v>0.151</v>
      </c>
      <c r="S22" s="14"/>
      <c r="T22" s="14"/>
    </row>
    <row r="23" spans="1:20" ht="15" customHeight="1" x14ac:dyDescent="0.3">
      <c r="A23" s="15"/>
      <c r="B23" s="15"/>
      <c r="C23" s="13">
        <v>5</v>
      </c>
      <c r="D23" s="12">
        <v>0.46100000000000002</v>
      </c>
      <c r="E23" s="14"/>
      <c r="F23" s="14"/>
      <c r="H23" s="15"/>
      <c r="I23" s="15"/>
      <c r="J23" s="13">
        <v>5</v>
      </c>
      <c r="K23" s="12">
        <v>0.32100000000000001</v>
      </c>
      <c r="L23" s="14"/>
      <c r="M23" s="14"/>
      <c r="O23" s="15"/>
      <c r="P23" s="15"/>
      <c r="Q23" s="13">
        <v>5</v>
      </c>
      <c r="R23" s="12">
        <v>0.26800000000000002</v>
      </c>
      <c r="S23" s="14"/>
      <c r="T23" s="14"/>
    </row>
    <row r="24" spans="1:20" ht="15" customHeight="1" x14ac:dyDescent="0.3">
      <c r="A24" s="15"/>
      <c r="B24" s="15"/>
      <c r="C24" s="13">
        <v>6</v>
      </c>
      <c r="D24" s="12">
        <v>0.58699999999999997</v>
      </c>
      <c r="E24" s="14"/>
      <c r="F24" s="14"/>
      <c r="H24" s="15"/>
      <c r="I24" s="15"/>
      <c r="J24" s="13">
        <v>6</v>
      </c>
      <c r="K24" s="12">
        <v>8.4000000000000005E-2</v>
      </c>
      <c r="L24" s="14"/>
      <c r="M24" s="14"/>
      <c r="O24" s="15"/>
      <c r="P24" s="15"/>
      <c r="Q24" s="13">
        <v>6</v>
      </c>
      <c r="R24" s="12">
        <v>0.17100000000000001</v>
      </c>
      <c r="S24" s="14"/>
      <c r="T24" s="14"/>
    </row>
    <row r="25" spans="1:20" ht="15" customHeight="1" x14ac:dyDescent="0.3">
      <c r="A25" s="15"/>
      <c r="B25" s="15"/>
      <c r="C25" s="13">
        <v>7</v>
      </c>
      <c r="D25" s="12">
        <v>0.41099999999999998</v>
      </c>
      <c r="E25" s="14"/>
      <c r="F25" s="14"/>
      <c r="H25" s="15"/>
      <c r="I25" s="15"/>
      <c r="J25" s="13">
        <v>7</v>
      </c>
      <c r="K25" s="12">
        <v>0</v>
      </c>
      <c r="L25" s="14"/>
      <c r="M25" s="14"/>
      <c r="O25" s="15"/>
      <c r="P25" s="15"/>
      <c r="Q25" s="13">
        <v>7</v>
      </c>
      <c r="R25" s="12">
        <v>0.11700000000000001</v>
      </c>
      <c r="S25" s="14"/>
      <c r="T25" s="14"/>
    </row>
    <row r="26" spans="1:20" ht="15" customHeight="1" x14ac:dyDescent="0.3">
      <c r="A26" s="15"/>
      <c r="B26" s="15"/>
      <c r="C26" s="13">
        <v>8</v>
      </c>
      <c r="D26" s="12">
        <v>0.50700000000000001</v>
      </c>
      <c r="E26" s="14"/>
      <c r="F26" s="14"/>
      <c r="H26" s="15"/>
      <c r="I26" s="15"/>
      <c r="J26" s="13">
        <v>8</v>
      </c>
      <c r="K26" s="12">
        <v>0.253</v>
      </c>
      <c r="L26" s="14"/>
      <c r="M26" s="14"/>
      <c r="O26" s="15"/>
      <c r="P26" s="15"/>
      <c r="Q26" s="13">
        <v>8</v>
      </c>
      <c r="R26" s="12">
        <v>1.9E-2</v>
      </c>
      <c r="S26" s="14"/>
      <c r="T26" s="14"/>
    </row>
    <row r="27" spans="1:20" ht="15" customHeight="1" x14ac:dyDescent="0.3">
      <c r="A27" s="15"/>
      <c r="B27" s="15"/>
      <c r="C27" s="13">
        <v>9</v>
      </c>
      <c r="D27" s="12">
        <v>0.66</v>
      </c>
      <c r="E27" s="14"/>
      <c r="F27" s="14"/>
      <c r="H27" s="15"/>
      <c r="I27" s="15"/>
      <c r="J27" s="13">
        <v>9</v>
      </c>
      <c r="K27" s="12">
        <v>0.17399999999999999</v>
      </c>
      <c r="L27" s="14"/>
      <c r="M27" s="14"/>
      <c r="O27" s="15"/>
      <c r="P27" s="15"/>
      <c r="Q27" s="13">
        <v>9</v>
      </c>
      <c r="R27" s="12">
        <v>0</v>
      </c>
      <c r="S27" s="14"/>
      <c r="T27" s="14"/>
    </row>
    <row r="28" spans="1:20" ht="15" customHeight="1" x14ac:dyDescent="0.3">
      <c r="A28" s="15"/>
      <c r="B28" s="15"/>
      <c r="C28" s="13">
        <v>10</v>
      </c>
      <c r="D28" s="12">
        <v>0.47299999999999998</v>
      </c>
      <c r="E28" s="14"/>
      <c r="F28" s="14"/>
      <c r="H28" s="15"/>
      <c r="I28" s="15"/>
      <c r="J28" s="13">
        <v>10</v>
      </c>
      <c r="K28" s="12">
        <v>0.184</v>
      </c>
      <c r="L28" s="14"/>
      <c r="M28" s="14"/>
      <c r="O28" s="15"/>
      <c r="P28" s="15"/>
      <c r="Q28" s="13">
        <v>10</v>
      </c>
      <c r="R28" s="12">
        <v>0.184</v>
      </c>
      <c r="S28" s="14"/>
      <c r="T28" s="14"/>
    </row>
    <row r="29" spans="1:20" ht="15" customHeight="1" x14ac:dyDescent="0.3">
      <c r="A29" s="15"/>
      <c r="B29" s="15"/>
      <c r="C29" s="13">
        <v>11</v>
      </c>
      <c r="D29" s="12">
        <v>0.496</v>
      </c>
      <c r="E29" s="14"/>
      <c r="F29" s="14"/>
      <c r="H29" s="15"/>
      <c r="I29" s="15"/>
      <c r="J29" s="13">
        <v>11</v>
      </c>
      <c r="K29" s="12">
        <v>0.42399999999999999</v>
      </c>
      <c r="L29" s="14"/>
      <c r="M29" s="14"/>
      <c r="O29" s="15"/>
      <c r="P29" s="15"/>
      <c r="Q29" s="13">
        <v>11</v>
      </c>
      <c r="R29" s="12">
        <v>0.192</v>
      </c>
      <c r="S29" s="14"/>
      <c r="T29" s="14"/>
    </row>
    <row r="30" spans="1:20" ht="15" customHeight="1" x14ac:dyDescent="0.3">
      <c r="A30" s="15"/>
      <c r="B30" s="15"/>
      <c r="C30" s="13">
        <v>12</v>
      </c>
      <c r="D30" s="12">
        <v>0.47499999999999998</v>
      </c>
      <c r="E30" s="14"/>
      <c r="F30" s="14"/>
      <c r="H30" s="15"/>
      <c r="I30" s="15"/>
      <c r="J30" s="13">
        <v>12</v>
      </c>
      <c r="K30" s="12">
        <v>0.16900000000000001</v>
      </c>
      <c r="L30" s="14"/>
      <c r="M30" s="14"/>
      <c r="O30" s="15"/>
      <c r="P30" s="15"/>
      <c r="Q30" s="13">
        <v>12</v>
      </c>
      <c r="R30" s="12">
        <v>0</v>
      </c>
      <c r="S30" s="14"/>
      <c r="T30" s="14"/>
    </row>
    <row r="31" spans="1:20" ht="15" customHeight="1" x14ac:dyDescent="0.3">
      <c r="A31" s="15"/>
      <c r="B31" s="15"/>
      <c r="C31" s="13">
        <v>13</v>
      </c>
      <c r="D31" s="12">
        <v>0.57399999999999995</v>
      </c>
      <c r="E31" s="14"/>
      <c r="F31" s="14"/>
      <c r="H31" s="15"/>
      <c r="I31" s="15"/>
      <c r="J31" s="13">
        <v>13</v>
      </c>
      <c r="K31" s="12">
        <v>6.0999999999999999E-2</v>
      </c>
      <c r="L31" s="14"/>
      <c r="M31" s="14"/>
      <c r="O31" s="15"/>
      <c r="P31" s="15"/>
      <c r="Q31" s="13">
        <v>13</v>
      </c>
      <c r="R31" s="12">
        <v>0.154</v>
      </c>
      <c r="S31" s="14"/>
      <c r="T31" s="14"/>
    </row>
    <row r="32" spans="1:20" ht="15" customHeight="1" x14ac:dyDescent="0.3">
      <c r="A32" s="15"/>
      <c r="B32" s="15"/>
      <c r="C32" s="13">
        <v>14</v>
      </c>
      <c r="D32" s="12">
        <v>0.67100000000000004</v>
      </c>
      <c r="E32" s="14"/>
      <c r="F32" s="14"/>
      <c r="H32" s="15"/>
      <c r="I32" s="15"/>
      <c r="J32" s="13">
        <v>14</v>
      </c>
      <c r="K32" s="12">
        <v>2E-3</v>
      </c>
      <c r="L32" s="14"/>
      <c r="M32" s="14"/>
      <c r="O32" s="15"/>
      <c r="P32" s="15"/>
      <c r="Q32" s="13">
        <v>14</v>
      </c>
      <c r="R32" s="12">
        <v>0.32200000000000001</v>
      </c>
      <c r="S32" s="14"/>
      <c r="T32" s="14"/>
    </row>
    <row r="33" spans="1:20" ht="15" customHeight="1" x14ac:dyDescent="0.3">
      <c r="A33" s="15"/>
      <c r="B33" s="15"/>
      <c r="C33" s="13">
        <v>15</v>
      </c>
      <c r="D33" s="12">
        <v>0.67200000000000004</v>
      </c>
      <c r="E33" s="14"/>
      <c r="F33" s="14"/>
      <c r="H33" s="15"/>
      <c r="I33" s="15"/>
      <c r="J33" s="13">
        <v>15</v>
      </c>
      <c r="K33" s="12">
        <v>0.16900000000000001</v>
      </c>
      <c r="L33" s="14"/>
      <c r="M33" s="14"/>
      <c r="O33" s="15"/>
      <c r="P33" s="15"/>
      <c r="Q33" s="13">
        <v>15</v>
      </c>
      <c r="R33" s="12">
        <v>0.23499999999999999</v>
      </c>
      <c r="S33" s="14"/>
      <c r="T33" s="14"/>
    </row>
  </sheetData>
  <mergeCells count="24">
    <mergeCell ref="T19:T33"/>
    <mergeCell ref="A19:A33"/>
    <mergeCell ref="B19:B33"/>
    <mergeCell ref="E19:E33"/>
    <mergeCell ref="F19:F33"/>
    <mergeCell ref="H19:H33"/>
    <mergeCell ref="I19:I33"/>
    <mergeCell ref="L19:L33"/>
    <mergeCell ref="M19:M33"/>
    <mergeCell ref="O19:O33"/>
    <mergeCell ref="P19:P33"/>
    <mergeCell ref="S19:S33"/>
    <mergeCell ref="T2:T16"/>
    <mergeCell ref="A2:A16"/>
    <mergeCell ref="B2:B16"/>
    <mergeCell ref="E2:E16"/>
    <mergeCell ref="F2:F16"/>
    <mergeCell ref="H2:H16"/>
    <mergeCell ref="I2:I16"/>
    <mergeCell ref="L2:L16"/>
    <mergeCell ref="M2:M16"/>
    <mergeCell ref="O2:O16"/>
    <mergeCell ref="P2:P16"/>
    <mergeCell ref="S2:S16"/>
  </mergeCells>
  <phoneticPr fontId="1" type="noConversion"/>
  <conditionalFormatting sqref="D2:D16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D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1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7FE80-DBDD-4B44-A65A-D75A74FA83DB}">
  <dimension ref="A1:T35"/>
  <sheetViews>
    <sheetView zoomScale="85" zoomScaleNormal="85" workbookViewId="0">
      <selection activeCell="B35" sqref="B35:T35"/>
    </sheetView>
  </sheetViews>
  <sheetFormatPr defaultColWidth="10.75" defaultRowHeight="15" customHeight="1" x14ac:dyDescent="0.3"/>
  <cols>
    <col min="1" max="16384" width="10.75" style="10"/>
  </cols>
  <sheetData>
    <row r="1" spans="1:20" ht="15" customHeight="1" x14ac:dyDescent="0.3">
      <c r="A1" s="11" t="s">
        <v>62</v>
      </c>
      <c r="B1" s="11" t="s">
        <v>63</v>
      </c>
      <c r="C1" s="11" t="s">
        <v>64</v>
      </c>
      <c r="D1" s="11" t="s">
        <v>65</v>
      </c>
      <c r="E1" s="11" t="s">
        <v>66</v>
      </c>
      <c r="F1" s="11" t="s">
        <v>67</v>
      </c>
      <c r="H1" s="11" t="s">
        <v>62</v>
      </c>
      <c r="I1" s="11" t="s">
        <v>63</v>
      </c>
      <c r="J1" s="11" t="s">
        <v>64</v>
      </c>
      <c r="K1" s="11" t="s">
        <v>65</v>
      </c>
      <c r="L1" s="11" t="s">
        <v>66</v>
      </c>
      <c r="M1" s="11" t="s">
        <v>67</v>
      </c>
      <c r="O1" s="11" t="s">
        <v>62</v>
      </c>
      <c r="P1" s="11" t="s">
        <v>63</v>
      </c>
      <c r="Q1" s="11" t="s">
        <v>64</v>
      </c>
      <c r="R1" s="11" t="s">
        <v>65</v>
      </c>
      <c r="S1" s="11" t="s">
        <v>66</v>
      </c>
      <c r="T1" s="11" t="s">
        <v>67</v>
      </c>
    </row>
    <row r="2" spans="1:20" ht="15" customHeight="1" x14ac:dyDescent="0.3">
      <c r="A2" s="15">
        <v>4.5999999999999996</v>
      </c>
      <c r="B2" s="15">
        <v>2.4</v>
      </c>
      <c r="C2" s="13">
        <v>1</v>
      </c>
      <c r="D2" s="12">
        <v>2.11</v>
      </c>
      <c r="E2" s="14">
        <f>AVERAGE(D2:D16)</f>
        <v>2.086933333333334</v>
      </c>
      <c r="F2" s="14">
        <f>_xlfn.VAR.S(D2:D16)</f>
        <v>4.6305495238095205E-2</v>
      </c>
      <c r="H2" s="15">
        <v>3.8</v>
      </c>
      <c r="I2" s="15">
        <v>2.4</v>
      </c>
      <c r="J2" s="13">
        <v>1</v>
      </c>
      <c r="K2" s="12">
        <v>1.6160000000000001</v>
      </c>
      <c r="L2" s="14">
        <f>AVERAGE(K2:K16)</f>
        <v>1.8030000000000002</v>
      </c>
      <c r="M2" s="14">
        <f>_xlfn.VAR.S(K2:K16)</f>
        <v>2.3616714285714279E-2</v>
      </c>
      <c r="O2" s="15">
        <v>4.2</v>
      </c>
      <c r="P2" s="15">
        <v>1.6</v>
      </c>
      <c r="Q2" s="13">
        <v>1</v>
      </c>
      <c r="R2" s="12">
        <v>0.2</v>
      </c>
      <c r="S2" s="14">
        <f>AVERAGE(R2:R16)</f>
        <v>0.10553333333333333</v>
      </c>
      <c r="T2" s="14">
        <f>_xlfn.VAR.S(R2:R16)</f>
        <v>6.1615523809523797E-3</v>
      </c>
    </row>
    <row r="3" spans="1:20" ht="15" customHeight="1" x14ac:dyDescent="0.3">
      <c r="A3" s="15"/>
      <c r="B3" s="15"/>
      <c r="C3" s="13">
        <v>2</v>
      </c>
      <c r="D3" s="12">
        <v>2.36</v>
      </c>
      <c r="E3" s="14"/>
      <c r="F3" s="14"/>
      <c r="H3" s="15"/>
      <c r="I3" s="15"/>
      <c r="J3" s="13">
        <v>2</v>
      </c>
      <c r="K3" s="12">
        <v>1.91</v>
      </c>
      <c r="L3" s="14"/>
      <c r="M3" s="14"/>
      <c r="O3" s="15"/>
      <c r="P3" s="15"/>
      <c r="Q3" s="13">
        <v>2</v>
      </c>
      <c r="R3" s="12">
        <v>5.2999999999999999E-2</v>
      </c>
      <c r="S3" s="14"/>
      <c r="T3" s="14"/>
    </row>
    <row r="4" spans="1:20" ht="15" customHeight="1" x14ac:dyDescent="0.3">
      <c r="A4" s="15"/>
      <c r="B4" s="15"/>
      <c r="C4" s="13">
        <v>3</v>
      </c>
      <c r="D4" s="12">
        <v>1.806</v>
      </c>
      <c r="E4" s="14"/>
      <c r="F4" s="14"/>
      <c r="H4" s="15"/>
      <c r="I4" s="15"/>
      <c r="J4" s="13">
        <v>3</v>
      </c>
      <c r="K4" s="12">
        <v>1.6379999999999999</v>
      </c>
      <c r="L4" s="14"/>
      <c r="M4" s="14"/>
      <c r="O4" s="15"/>
      <c r="P4" s="15"/>
      <c r="Q4" s="13">
        <v>3</v>
      </c>
      <c r="R4" s="12">
        <v>0</v>
      </c>
      <c r="S4" s="14"/>
      <c r="T4" s="14"/>
    </row>
    <row r="5" spans="1:20" ht="15" customHeight="1" x14ac:dyDescent="0.3">
      <c r="A5" s="15"/>
      <c r="B5" s="15"/>
      <c r="C5" s="13">
        <v>4</v>
      </c>
      <c r="D5" s="12">
        <v>2.0169999999999999</v>
      </c>
      <c r="E5" s="14"/>
      <c r="F5" s="14"/>
      <c r="H5" s="15"/>
      <c r="I5" s="15"/>
      <c r="J5" s="13">
        <v>4</v>
      </c>
      <c r="K5" s="12">
        <v>1.5349999999999999</v>
      </c>
      <c r="L5" s="14"/>
      <c r="M5" s="14"/>
      <c r="O5" s="15"/>
      <c r="P5" s="15"/>
      <c r="Q5" s="13">
        <v>4</v>
      </c>
      <c r="R5" s="12">
        <v>2.7E-2</v>
      </c>
      <c r="S5" s="14"/>
      <c r="T5" s="14"/>
    </row>
    <row r="6" spans="1:20" ht="15" customHeight="1" x14ac:dyDescent="0.3">
      <c r="A6" s="15"/>
      <c r="B6" s="15"/>
      <c r="C6" s="13">
        <v>5</v>
      </c>
      <c r="D6" s="12">
        <v>1.7050000000000001</v>
      </c>
      <c r="E6" s="14"/>
      <c r="F6" s="14"/>
      <c r="H6" s="15"/>
      <c r="I6" s="15"/>
      <c r="J6" s="13">
        <v>5</v>
      </c>
      <c r="K6" s="12">
        <v>1.6519999999999999</v>
      </c>
      <c r="L6" s="14"/>
      <c r="M6" s="14"/>
      <c r="O6" s="15"/>
      <c r="P6" s="15"/>
      <c r="Q6" s="13">
        <v>5</v>
      </c>
      <c r="R6" s="12">
        <v>4.2000000000000003E-2</v>
      </c>
      <c r="S6" s="14"/>
      <c r="T6" s="14"/>
    </row>
    <row r="7" spans="1:20" ht="15" customHeight="1" x14ac:dyDescent="0.3">
      <c r="A7" s="15"/>
      <c r="B7" s="15"/>
      <c r="C7" s="13">
        <v>6</v>
      </c>
      <c r="D7" s="12">
        <v>1.927</v>
      </c>
      <c r="E7" s="14"/>
      <c r="F7" s="14"/>
      <c r="H7" s="15"/>
      <c r="I7" s="15"/>
      <c r="J7" s="13">
        <v>6</v>
      </c>
      <c r="K7" s="12">
        <v>1.6240000000000001</v>
      </c>
      <c r="L7" s="14"/>
      <c r="M7" s="14"/>
      <c r="O7" s="15"/>
      <c r="P7" s="15"/>
      <c r="Q7" s="13">
        <v>6</v>
      </c>
      <c r="R7" s="12">
        <v>0</v>
      </c>
      <c r="S7" s="14"/>
      <c r="T7" s="14"/>
    </row>
    <row r="8" spans="1:20" ht="15" customHeight="1" x14ac:dyDescent="0.3">
      <c r="A8" s="15"/>
      <c r="B8" s="15"/>
      <c r="C8" s="13">
        <v>7</v>
      </c>
      <c r="D8" s="12">
        <v>1.9410000000000001</v>
      </c>
      <c r="E8" s="14"/>
      <c r="F8" s="14"/>
      <c r="H8" s="15"/>
      <c r="I8" s="15"/>
      <c r="J8" s="13">
        <v>7</v>
      </c>
      <c r="K8" s="12">
        <v>1.845</v>
      </c>
      <c r="L8" s="14"/>
      <c r="M8" s="14"/>
      <c r="O8" s="15"/>
      <c r="P8" s="15"/>
      <c r="Q8" s="13">
        <v>7</v>
      </c>
      <c r="R8" s="12">
        <v>0.111</v>
      </c>
      <c r="S8" s="14"/>
      <c r="T8" s="14"/>
    </row>
    <row r="9" spans="1:20" ht="15" customHeight="1" x14ac:dyDescent="0.3">
      <c r="A9" s="15"/>
      <c r="B9" s="15"/>
      <c r="C9" s="13">
        <v>8</v>
      </c>
      <c r="D9" s="12">
        <v>2.3010000000000002</v>
      </c>
      <c r="E9" s="14"/>
      <c r="F9" s="14"/>
      <c r="H9" s="15"/>
      <c r="I9" s="15"/>
      <c r="J9" s="13">
        <v>8</v>
      </c>
      <c r="K9" s="12">
        <v>1.966</v>
      </c>
      <c r="L9" s="14"/>
      <c r="M9" s="14"/>
      <c r="O9" s="15"/>
      <c r="P9" s="15"/>
      <c r="Q9" s="13">
        <v>8</v>
      </c>
      <c r="R9" s="12">
        <v>0.18</v>
      </c>
      <c r="S9" s="14"/>
      <c r="T9" s="14"/>
    </row>
    <row r="10" spans="1:20" ht="15" customHeight="1" x14ac:dyDescent="0.3">
      <c r="A10" s="15"/>
      <c r="B10" s="15"/>
      <c r="C10" s="13">
        <v>9</v>
      </c>
      <c r="D10" s="12">
        <v>2.0169999999999999</v>
      </c>
      <c r="E10" s="14"/>
      <c r="F10" s="14"/>
      <c r="H10" s="15"/>
      <c r="I10" s="15"/>
      <c r="J10" s="13">
        <v>9</v>
      </c>
      <c r="K10" s="12">
        <v>1.8759999999999999</v>
      </c>
      <c r="L10" s="14"/>
      <c r="M10" s="14"/>
      <c r="O10" s="15"/>
      <c r="P10" s="15"/>
      <c r="Q10" s="13">
        <v>9</v>
      </c>
      <c r="R10" s="12">
        <v>0.123</v>
      </c>
      <c r="S10" s="14"/>
      <c r="T10" s="14"/>
    </row>
    <row r="11" spans="1:20" ht="15" customHeight="1" x14ac:dyDescent="0.3">
      <c r="A11" s="15"/>
      <c r="B11" s="15"/>
      <c r="C11" s="13">
        <v>10</v>
      </c>
      <c r="D11" s="12">
        <v>2.4489999999999998</v>
      </c>
      <c r="E11" s="14"/>
      <c r="F11" s="14"/>
      <c r="H11" s="15"/>
      <c r="I11" s="15"/>
      <c r="J11" s="13">
        <v>10</v>
      </c>
      <c r="K11" s="12">
        <v>1.7749999999999999</v>
      </c>
      <c r="L11" s="14"/>
      <c r="M11" s="14"/>
      <c r="O11" s="15"/>
      <c r="P11" s="15"/>
      <c r="Q11" s="13">
        <v>10</v>
      </c>
      <c r="R11" s="12">
        <v>0.14899999999999999</v>
      </c>
      <c r="S11" s="14"/>
      <c r="T11" s="14"/>
    </row>
    <row r="12" spans="1:20" ht="15" customHeight="1" x14ac:dyDescent="0.3">
      <c r="A12" s="15"/>
      <c r="B12" s="15"/>
      <c r="C12" s="13">
        <v>11</v>
      </c>
      <c r="D12" s="12">
        <v>1.927</v>
      </c>
      <c r="E12" s="14"/>
      <c r="F12" s="14"/>
      <c r="H12" s="15"/>
      <c r="I12" s="15"/>
      <c r="J12" s="13">
        <v>11</v>
      </c>
      <c r="K12" s="12">
        <v>1.994</v>
      </c>
      <c r="L12" s="14"/>
      <c r="M12" s="14"/>
      <c r="O12" s="15"/>
      <c r="P12" s="15"/>
      <c r="Q12" s="13">
        <v>11</v>
      </c>
      <c r="R12" s="12">
        <v>6.0999999999999999E-2</v>
      </c>
      <c r="S12" s="14"/>
      <c r="T12" s="14"/>
    </row>
    <row r="13" spans="1:20" ht="15" customHeight="1" x14ac:dyDescent="0.3">
      <c r="A13" s="15"/>
      <c r="B13" s="15"/>
      <c r="C13" s="13">
        <v>12</v>
      </c>
      <c r="D13" s="12">
        <v>2.0419999999999998</v>
      </c>
      <c r="E13" s="14"/>
      <c r="F13" s="14"/>
      <c r="H13" s="15"/>
      <c r="I13" s="15"/>
      <c r="J13" s="13">
        <v>12</v>
      </c>
      <c r="K13" s="12">
        <v>1.91</v>
      </c>
      <c r="L13" s="14"/>
      <c r="M13" s="14"/>
      <c r="O13" s="15"/>
      <c r="P13" s="15"/>
      <c r="Q13" s="13">
        <v>12</v>
      </c>
      <c r="R13" s="12">
        <v>8.5000000000000006E-2</v>
      </c>
      <c r="S13" s="14"/>
      <c r="T13" s="14"/>
    </row>
    <row r="14" spans="1:20" ht="15" customHeight="1" x14ac:dyDescent="0.3">
      <c r="A14" s="15"/>
      <c r="B14" s="15"/>
      <c r="C14" s="13">
        <v>13</v>
      </c>
      <c r="D14" s="12">
        <v>2.173</v>
      </c>
      <c r="E14" s="14"/>
      <c r="F14" s="14"/>
      <c r="H14" s="15"/>
      <c r="I14" s="15"/>
      <c r="J14" s="13">
        <v>13</v>
      </c>
      <c r="K14" s="12">
        <v>1.96</v>
      </c>
      <c r="L14" s="14"/>
      <c r="M14" s="14"/>
      <c r="O14" s="15"/>
      <c r="P14" s="15"/>
      <c r="Q14" s="13">
        <v>13</v>
      </c>
      <c r="R14" s="12">
        <v>0.26700000000000002</v>
      </c>
      <c r="S14" s="14"/>
      <c r="T14" s="14"/>
    </row>
    <row r="15" spans="1:20" ht="15" customHeight="1" x14ac:dyDescent="0.3">
      <c r="A15" s="15"/>
      <c r="B15" s="15"/>
      <c r="C15" s="13">
        <v>14</v>
      </c>
      <c r="D15" s="12">
        <v>2.3559999999999999</v>
      </c>
      <c r="E15" s="14"/>
      <c r="F15" s="14"/>
      <c r="H15" s="15"/>
      <c r="I15" s="15"/>
      <c r="J15" s="13">
        <v>14</v>
      </c>
      <c r="K15" s="12">
        <v>1.9550000000000001</v>
      </c>
      <c r="L15" s="14"/>
      <c r="M15" s="14"/>
      <c r="O15" s="15"/>
      <c r="P15" s="15"/>
      <c r="Q15" s="13">
        <v>14</v>
      </c>
      <c r="R15" s="12">
        <v>0.182</v>
      </c>
      <c r="S15" s="14"/>
      <c r="T15" s="14"/>
    </row>
    <row r="16" spans="1:20" ht="15" customHeight="1" x14ac:dyDescent="0.3">
      <c r="A16" s="15"/>
      <c r="B16" s="15"/>
      <c r="C16" s="13">
        <v>15</v>
      </c>
      <c r="D16" s="12">
        <v>2.173</v>
      </c>
      <c r="E16" s="14"/>
      <c r="F16" s="14"/>
      <c r="H16" s="15"/>
      <c r="I16" s="15"/>
      <c r="J16" s="13">
        <v>15</v>
      </c>
      <c r="K16" s="12">
        <v>1.7889999999999999</v>
      </c>
      <c r="L16" s="14"/>
      <c r="M16" s="14"/>
      <c r="O16" s="15"/>
      <c r="P16" s="15"/>
      <c r="Q16" s="13">
        <v>15</v>
      </c>
      <c r="R16" s="12">
        <v>0.10299999999999999</v>
      </c>
      <c r="S16" s="14"/>
      <c r="T16" s="14"/>
    </row>
    <row r="18" spans="1:20" ht="15" customHeight="1" x14ac:dyDescent="0.3">
      <c r="A18" s="11" t="s">
        <v>62</v>
      </c>
      <c r="B18" s="11" t="s">
        <v>63</v>
      </c>
      <c r="C18" s="11" t="s">
        <v>64</v>
      </c>
      <c r="D18" s="11" t="s">
        <v>65</v>
      </c>
      <c r="E18" s="11" t="s">
        <v>66</v>
      </c>
      <c r="F18" s="11" t="s">
        <v>67</v>
      </c>
      <c r="H18" s="11" t="s">
        <v>62</v>
      </c>
      <c r="I18" s="11" t="s">
        <v>63</v>
      </c>
      <c r="J18" s="11" t="s">
        <v>64</v>
      </c>
      <c r="K18" s="11" t="s">
        <v>65</v>
      </c>
      <c r="L18" s="11" t="s">
        <v>66</v>
      </c>
      <c r="M18" s="11" t="s">
        <v>67</v>
      </c>
      <c r="O18" s="11" t="s">
        <v>62</v>
      </c>
      <c r="P18" s="11" t="s">
        <v>63</v>
      </c>
      <c r="Q18" s="11" t="s">
        <v>64</v>
      </c>
      <c r="R18" s="11" t="s">
        <v>65</v>
      </c>
      <c r="S18" s="11" t="s">
        <v>66</v>
      </c>
      <c r="T18" s="11" t="s">
        <v>67</v>
      </c>
    </row>
    <row r="19" spans="1:20" ht="15" customHeight="1" x14ac:dyDescent="0.3">
      <c r="A19" s="15">
        <v>3.8</v>
      </c>
      <c r="B19" s="15">
        <v>3.2</v>
      </c>
      <c r="C19" s="13">
        <v>1</v>
      </c>
      <c r="D19" s="12">
        <v>0.48299999999999998</v>
      </c>
      <c r="E19" s="14">
        <f>AVERAGE(D19:D33)</f>
        <v>0.53433333333333322</v>
      </c>
      <c r="F19" s="14">
        <f>_xlfn.VAR.S(D19:D33)</f>
        <v>2.4061523809523928E-2</v>
      </c>
      <c r="H19" s="15">
        <v>5.4</v>
      </c>
      <c r="I19" s="15">
        <v>2.8</v>
      </c>
      <c r="J19" s="13">
        <v>1</v>
      </c>
      <c r="K19" s="12">
        <v>0</v>
      </c>
      <c r="L19" s="14">
        <f>AVERAGE(K19:K33)</f>
        <v>0</v>
      </c>
      <c r="M19" s="14">
        <f>_xlfn.VAR.S(K19:K33)</f>
        <v>0</v>
      </c>
      <c r="O19" s="15">
        <v>5</v>
      </c>
      <c r="P19" s="15">
        <v>1.2</v>
      </c>
      <c r="Q19" s="13">
        <v>1</v>
      </c>
      <c r="R19" s="12">
        <v>1.0999999999999999E-2</v>
      </c>
      <c r="S19" s="14">
        <f>AVERAGE(R19:R33)</f>
        <v>0.13546666666666671</v>
      </c>
      <c r="T19" s="14">
        <f>_xlfn.VAR.S(R19:R33)</f>
        <v>9.1272666666666578E-3</v>
      </c>
    </row>
    <row r="20" spans="1:20" ht="15" customHeight="1" x14ac:dyDescent="0.3">
      <c r="A20" s="15"/>
      <c r="B20" s="15"/>
      <c r="C20" s="13">
        <v>2</v>
      </c>
      <c r="D20" s="12">
        <v>0.59599999999999997</v>
      </c>
      <c r="E20" s="14"/>
      <c r="F20" s="14"/>
      <c r="H20" s="15"/>
      <c r="I20" s="15"/>
      <c r="J20" s="13">
        <v>2</v>
      </c>
      <c r="K20" s="12">
        <v>0</v>
      </c>
      <c r="L20" s="14"/>
      <c r="M20" s="14"/>
      <c r="O20" s="15"/>
      <c r="P20" s="15"/>
      <c r="Q20" s="13">
        <v>2</v>
      </c>
      <c r="R20" s="12">
        <v>8.7999999999999995E-2</v>
      </c>
      <c r="S20" s="14"/>
      <c r="T20" s="14"/>
    </row>
    <row r="21" spans="1:20" ht="15" customHeight="1" x14ac:dyDescent="0.3">
      <c r="A21" s="15"/>
      <c r="B21" s="15"/>
      <c r="C21" s="13">
        <v>3</v>
      </c>
      <c r="D21" s="12">
        <v>0.629</v>
      </c>
      <c r="E21" s="14"/>
      <c r="F21" s="14"/>
      <c r="H21" s="15"/>
      <c r="I21" s="15"/>
      <c r="J21" s="13">
        <v>3</v>
      </c>
      <c r="K21" s="12">
        <v>0</v>
      </c>
      <c r="L21" s="14"/>
      <c r="M21" s="14"/>
      <c r="O21" s="15"/>
      <c r="P21" s="15"/>
      <c r="Q21" s="13">
        <v>3</v>
      </c>
      <c r="R21" s="12">
        <v>6.4000000000000001E-2</v>
      </c>
      <c r="S21" s="14"/>
      <c r="T21" s="14"/>
    </row>
    <row r="22" spans="1:20" ht="15" customHeight="1" x14ac:dyDescent="0.3">
      <c r="A22" s="15"/>
      <c r="B22" s="15"/>
      <c r="C22" s="13">
        <v>4</v>
      </c>
      <c r="D22" s="12">
        <v>0.72599999999999998</v>
      </c>
      <c r="E22" s="14"/>
      <c r="F22" s="14"/>
      <c r="H22" s="15"/>
      <c r="I22" s="15"/>
      <c r="J22" s="13">
        <v>4</v>
      </c>
      <c r="K22" s="12">
        <v>0</v>
      </c>
      <c r="L22" s="14"/>
      <c r="M22" s="14"/>
      <c r="O22" s="15"/>
      <c r="P22" s="15"/>
      <c r="Q22" s="13">
        <v>4</v>
      </c>
      <c r="R22" s="12">
        <v>3.7999999999999999E-2</v>
      </c>
      <c r="S22" s="14"/>
      <c r="T22" s="14"/>
    </row>
    <row r="23" spans="1:20" ht="15" customHeight="1" x14ac:dyDescent="0.3">
      <c r="A23" s="15"/>
      <c r="B23" s="15"/>
      <c r="C23" s="13">
        <v>5</v>
      </c>
      <c r="D23" s="12">
        <v>0.77400000000000002</v>
      </c>
      <c r="E23" s="14"/>
      <c r="F23" s="14"/>
      <c r="H23" s="15"/>
      <c r="I23" s="15"/>
      <c r="J23" s="13">
        <v>5</v>
      </c>
      <c r="K23" s="12">
        <v>0</v>
      </c>
      <c r="L23" s="14"/>
      <c r="M23" s="14"/>
      <c r="O23" s="15"/>
      <c r="P23" s="15"/>
      <c r="Q23" s="13">
        <v>5</v>
      </c>
      <c r="R23" s="12">
        <v>0.107</v>
      </c>
      <c r="S23" s="14"/>
      <c r="T23" s="14"/>
    </row>
    <row r="24" spans="1:20" ht="15" customHeight="1" x14ac:dyDescent="0.3">
      <c r="A24" s="15"/>
      <c r="B24" s="15"/>
      <c r="C24" s="13">
        <v>6</v>
      </c>
      <c r="D24" s="12">
        <v>0.378</v>
      </c>
      <c r="E24" s="14"/>
      <c r="F24" s="14"/>
      <c r="H24" s="15"/>
      <c r="I24" s="15"/>
      <c r="J24" s="13">
        <v>6</v>
      </c>
      <c r="K24" s="12">
        <v>0</v>
      </c>
      <c r="L24" s="14"/>
      <c r="M24" s="14"/>
      <c r="O24" s="15"/>
      <c r="P24" s="15"/>
      <c r="Q24" s="13">
        <v>6</v>
      </c>
      <c r="R24" s="12">
        <v>0.28999999999999998</v>
      </c>
      <c r="S24" s="14"/>
      <c r="T24" s="14"/>
    </row>
    <row r="25" spans="1:20" ht="15" customHeight="1" x14ac:dyDescent="0.3">
      <c r="A25" s="15"/>
      <c r="B25" s="15"/>
      <c r="C25" s="13">
        <v>7</v>
      </c>
      <c r="D25" s="12">
        <v>0.33300000000000002</v>
      </c>
      <c r="E25" s="14"/>
      <c r="F25" s="14"/>
      <c r="H25" s="15"/>
      <c r="I25" s="15"/>
      <c r="J25" s="13">
        <v>7</v>
      </c>
      <c r="K25" s="12">
        <v>0</v>
      </c>
      <c r="L25" s="14"/>
      <c r="M25" s="14"/>
      <c r="O25" s="15"/>
      <c r="P25" s="15"/>
      <c r="Q25" s="13">
        <v>7</v>
      </c>
      <c r="R25" s="12">
        <v>0.307</v>
      </c>
      <c r="S25" s="14"/>
      <c r="T25" s="14"/>
    </row>
    <row r="26" spans="1:20" ht="15" customHeight="1" x14ac:dyDescent="0.3">
      <c r="A26" s="15"/>
      <c r="B26" s="15"/>
      <c r="C26" s="13">
        <v>8</v>
      </c>
      <c r="D26" s="12">
        <v>0.26600000000000001</v>
      </c>
      <c r="E26" s="14"/>
      <c r="F26" s="14"/>
      <c r="H26" s="15"/>
      <c r="I26" s="15"/>
      <c r="J26" s="13">
        <v>8</v>
      </c>
      <c r="K26" s="12">
        <v>0</v>
      </c>
      <c r="L26" s="14"/>
      <c r="M26" s="14"/>
      <c r="O26" s="15"/>
      <c r="P26" s="15"/>
      <c r="Q26" s="13">
        <v>8</v>
      </c>
      <c r="R26" s="12">
        <v>0.27300000000000002</v>
      </c>
      <c r="S26" s="14"/>
      <c r="T26" s="14"/>
    </row>
    <row r="27" spans="1:20" ht="15" customHeight="1" x14ac:dyDescent="0.3">
      <c r="A27" s="15"/>
      <c r="B27" s="15"/>
      <c r="C27" s="13">
        <v>9</v>
      </c>
      <c r="D27" s="12">
        <v>0.42</v>
      </c>
      <c r="E27" s="14"/>
      <c r="F27" s="14"/>
      <c r="H27" s="15"/>
      <c r="I27" s="15"/>
      <c r="J27" s="13">
        <v>9</v>
      </c>
      <c r="K27" s="12">
        <v>0</v>
      </c>
      <c r="L27" s="14"/>
      <c r="M27" s="14"/>
      <c r="O27" s="15"/>
      <c r="P27" s="15"/>
      <c r="Q27" s="13">
        <v>9</v>
      </c>
      <c r="R27" s="12">
        <v>0.151</v>
      </c>
      <c r="S27" s="14"/>
      <c r="T27" s="14"/>
    </row>
    <row r="28" spans="1:20" ht="15" customHeight="1" x14ac:dyDescent="0.3">
      <c r="A28" s="15"/>
      <c r="B28" s="15"/>
      <c r="C28" s="13">
        <v>10</v>
      </c>
      <c r="D28" s="12">
        <v>0.66700000000000004</v>
      </c>
      <c r="E28" s="14"/>
      <c r="F28" s="14"/>
      <c r="H28" s="15"/>
      <c r="I28" s="15"/>
      <c r="J28" s="13">
        <v>10</v>
      </c>
      <c r="K28" s="12">
        <v>0</v>
      </c>
      <c r="L28" s="14"/>
      <c r="M28" s="14"/>
      <c r="O28" s="15"/>
      <c r="P28" s="15"/>
      <c r="Q28" s="13">
        <v>10</v>
      </c>
      <c r="R28" s="12">
        <v>3.2000000000000001E-2</v>
      </c>
      <c r="S28" s="14"/>
      <c r="T28" s="14"/>
    </row>
    <row r="29" spans="1:20" ht="15" customHeight="1" x14ac:dyDescent="0.3">
      <c r="A29" s="15"/>
      <c r="B29" s="15"/>
      <c r="C29" s="13">
        <v>11</v>
      </c>
      <c r="D29" s="12">
        <v>0.38600000000000001</v>
      </c>
      <c r="E29" s="14"/>
      <c r="F29" s="14"/>
      <c r="H29" s="15"/>
      <c r="I29" s="15"/>
      <c r="J29" s="13">
        <v>11</v>
      </c>
      <c r="K29" s="12">
        <v>0</v>
      </c>
      <c r="L29" s="14"/>
      <c r="M29" s="14"/>
      <c r="O29" s="15"/>
      <c r="P29" s="15"/>
      <c r="Q29" s="13">
        <v>11</v>
      </c>
      <c r="R29" s="12">
        <v>8.2000000000000003E-2</v>
      </c>
      <c r="S29" s="14"/>
      <c r="T29" s="14"/>
    </row>
    <row r="30" spans="1:20" ht="15" customHeight="1" x14ac:dyDescent="0.3">
      <c r="A30" s="15"/>
      <c r="B30" s="15"/>
      <c r="C30" s="13">
        <v>12</v>
      </c>
      <c r="D30" s="12">
        <v>0.57099999999999995</v>
      </c>
      <c r="E30" s="14"/>
      <c r="F30" s="14"/>
      <c r="H30" s="15"/>
      <c r="I30" s="15"/>
      <c r="J30" s="13">
        <v>12</v>
      </c>
      <c r="K30" s="12">
        <v>0</v>
      </c>
      <c r="L30" s="14"/>
      <c r="M30" s="14"/>
      <c r="O30" s="15"/>
      <c r="P30" s="15"/>
      <c r="Q30" s="13">
        <v>12</v>
      </c>
      <c r="R30" s="12">
        <v>0.13200000000000001</v>
      </c>
      <c r="S30" s="14"/>
      <c r="T30" s="14"/>
    </row>
    <row r="31" spans="1:20" ht="15" customHeight="1" x14ac:dyDescent="0.3">
      <c r="A31" s="15"/>
      <c r="B31" s="15"/>
      <c r="C31" s="13">
        <v>13</v>
      </c>
      <c r="D31" s="12">
        <v>0.46700000000000003</v>
      </c>
      <c r="E31" s="14"/>
      <c r="F31" s="14"/>
      <c r="H31" s="15"/>
      <c r="I31" s="15"/>
      <c r="J31" s="13">
        <v>13</v>
      </c>
      <c r="K31" s="12">
        <v>0</v>
      </c>
      <c r="L31" s="14"/>
      <c r="M31" s="14"/>
      <c r="O31" s="15"/>
      <c r="P31" s="15"/>
      <c r="Q31" s="13">
        <v>13</v>
      </c>
      <c r="R31" s="12">
        <v>0.12</v>
      </c>
      <c r="S31" s="14"/>
      <c r="T31" s="14"/>
    </row>
    <row r="32" spans="1:20" ht="15" customHeight="1" x14ac:dyDescent="0.3">
      <c r="A32" s="15"/>
      <c r="B32" s="15"/>
      <c r="C32" s="13">
        <v>14</v>
      </c>
      <c r="D32" s="12">
        <v>0.64500000000000002</v>
      </c>
      <c r="E32" s="14"/>
      <c r="F32" s="14"/>
      <c r="H32" s="15"/>
      <c r="I32" s="15"/>
      <c r="J32" s="13">
        <v>14</v>
      </c>
      <c r="K32" s="12">
        <v>0</v>
      </c>
      <c r="L32" s="14"/>
      <c r="M32" s="14"/>
      <c r="O32" s="15"/>
      <c r="P32" s="15"/>
      <c r="Q32" s="13">
        <v>14</v>
      </c>
      <c r="R32" s="12">
        <v>0.224</v>
      </c>
      <c r="S32" s="14"/>
      <c r="T32" s="14"/>
    </row>
    <row r="33" spans="1:20" ht="15" customHeight="1" x14ac:dyDescent="0.3">
      <c r="A33" s="15"/>
      <c r="B33" s="15"/>
      <c r="C33" s="13">
        <v>15</v>
      </c>
      <c r="D33" s="12">
        <v>0.67400000000000004</v>
      </c>
      <c r="E33" s="14"/>
      <c r="F33" s="14"/>
      <c r="H33" s="15"/>
      <c r="I33" s="15"/>
      <c r="J33" s="13">
        <v>15</v>
      </c>
      <c r="K33" s="12">
        <v>0</v>
      </c>
      <c r="L33" s="14"/>
      <c r="M33" s="14"/>
      <c r="O33" s="15"/>
      <c r="P33" s="15"/>
      <c r="Q33" s="13">
        <v>15</v>
      </c>
      <c r="R33" s="12">
        <v>0.113</v>
      </c>
      <c r="S33" s="14"/>
      <c r="T33" s="14"/>
    </row>
    <row r="35" spans="1:20" ht="15" customHeight="1" x14ac:dyDescent="0.3">
      <c r="A35" s="11" t="s">
        <v>68</v>
      </c>
      <c r="B35" s="15" t="s">
        <v>69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</row>
  </sheetData>
  <mergeCells count="25">
    <mergeCell ref="L19:L33"/>
    <mergeCell ref="M19:M33"/>
    <mergeCell ref="B35:T35"/>
    <mergeCell ref="O19:O33"/>
    <mergeCell ref="P19:P33"/>
    <mergeCell ref="S19:S33"/>
    <mergeCell ref="T19:T33"/>
    <mergeCell ref="I19:I33"/>
    <mergeCell ref="A19:A33"/>
    <mergeCell ref="B19:B33"/>
    <mergeCell ref="E19:E33"/>
    <mergeCell ref="F19:F33"/>
    <mergeCell ref="H19:H33"/>
    <mergeCell ref="T2:T16"/>
    <mergeCell ref="A2:A16"/>
    <mergeCell ref="B2:B16"/>
    <mergeCell ref="E2:E16"/>
    <mergeCell ref="F2:F16"/>
    <mergeCell ref="H2:H16"/>
    <mergeCell ref="I2:I16"/>
    <mergeCell ref="L2:L16"/>
    <mergeCell ref="M2:M16"/>
    <mergeCell ref="O2:O16"/>
    <mergeCell ref="P2:P16"/>
    <mergeCell ref="S2:S16"/>
  </mergeCells>
  <phoneticPr fontId="1" type="noConversion"/>
  <conditionalFormatting sqref="D2:D16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D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1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8F677-E35B-4859-8D58-8C2C41A3E38C}">
  <dimension ref="A1:T35"/>
  <sheetViews>
    <sheetView zoomScale="85" zoomScaleNormal="85" workbookViewId="0">
      <selection activeCell="Q40" sqref="Q40"/>
    </sheetView>
  </sheetViews>
  <sheetFormatPr defaultColWidth="10.75" defaultRowHeight="15" customHeight="1" x14ac:dyDescent="0.3"/>
  <cols>
    <col min="1" max="16384" width="10.75" style="10"/>
  </cols>
  <sheetData>
    <row r="1" spans="1:20" ht="15" customHeight="1" x14ac:dyDescent="0.3">
      <c r="A1" s="11" t="s">
        <v>62</v>
      </c>
      <c r="B1" s="11" t="s">
        <v>63</v>
      </c>
      <c r="C1" s="11" t="s">
        <v>64</v>
      </c>
      <c r="D1" s="11" t="s">
        <v>65</v>
      </c>
      <c r="E1" s="11" t="s">
        <v>66</v>
      </c>
      <c r="F1" s="11" t="s">
        <v>67</v>
      </c>
      <c r="H1" s="11" t="s">
        <v>62</v>
      </c>
      <c r="I1" s="11" t="s">
        <v>63</v>
      </c>
      <c r="J1" s="11" t="s">
        <v>64</v>
      </c>
      <c r="K1" s="11" t="s">
        <v>65</v>
      </c>
      <c r="L1" s="11" t="s">
        <v>66</v>
      </c>
      <c r="M1" s="11" t="s">
        <v>67</v>
      </c>
      <c r="O1" s="11" t="s">
        <v>62</v>
      </c>
      <c r="P1" s="11" t="s">
        <v>63</v>
      </c>
      <c r="Q1" s="11" t="s">
        <v>64</v>
      </c>
      <c r="R1" s="11" t="s">
        <v>65</v>
      </c>
      <c r="S1" s="11" t="s">
        <v>66</v>
      </c>
      <c r="T1" s="11" t="s">
        <v>67</v>
      </c>
    </row>
    <row r="2" spans="1:20" ht="15" customHeight="1" x14ac:dyDescent="0.3">
      <c r="A2" s="15">
        <v>4.5999999999999996</v>
      </c>
      <c r="B2" s="15">
        <v>2.4</v>
      </c>
      <c r="C2" s="13">
        <v>1</v>
      </c>
      <c r="D2" s="12">
        <v>0.47299999999999998</v>
      </c>
      <c r="E2" s="14">
        <f>AVERAGE(D2:D16)</f>
        <v>0.78406666666666669</v>
      </c>
      <c r="F2" s="14">
        <f>_xlfn.VAR.S(D2:D16)</f>
        <v>5.3284780952380907E-2</v>
      </c>
      <c r="H2" s="15">
        <v>3.8</v>
      </c>
      <c r="I2" s="15">
        <v>2.4</v>
      </c>
      <c r="J2" s="13">
        <v>1</v>
      </c>
      <c r="K2" s="12">
        <v>1.5</v>
      </c>
      <c r="L2" s="14">
        <f>AVERAGE(K2:K16)</f>
        <v>1.2322666666666668</v>
      </c>
      <c r="M2" s="14">
        <f>_xlfn.VAR.S(K2:K16)</f>
        <v>0.12489763809523804</v>
      </c>
      <c r="O2" s="15">
        <v>4.2</v>
      </c>
      <c r="P2" s="15">
        <v>1.6</v>
      </c>
      <c r="Q2" s="13">
        <v>1</v>
      </c>
      <c r="R2" s="12">
        <v>1.254</v>
      </c>
      <c r="S2" s="14">
        <f>AVERAGE(R2:R16)</f>
        <v>0.96899999999999986</v>
      </c>
      <c r="T2" s="14">
        <f>_xlfn.VAR.S(R2:R16)</f>
        <v>3.3307285714285761E-2</v>
      </c>
    </row>
    <row r="3" spans="1:20" ht="15" customHeight="1" x14ac:dyDescent="0.3">
      <c r="A3" s="15"/>
      <c r="B3" s="15"/>
      <c r="C3" s="13">
        <v>2</v>
      </c>
      <c r="D3" s="12">
        <v>0.81</v>
      </c>
      <c r="E3" s="14"/>
      <c r="F3" s="14"/>
      <c r="H3" s="15"/>
      <c r="I3" s="15"/>
      <c r="J3" s="13">
        <v>2</v>
      </c>
      <c r="K3" s="12">
        <v>1.798</v>
      </c>
      <c r="L3" s="14"/>
      <c r="M3" s="14"/>
      <c r="O3" s="15"/>
      <c r="P3" s="15"/>
      <c r="Q3" s="13">
        <v>2</v>
      </c>
      <c r="R3" s="12">
        <v>0.94599999999999995</v>
      </c>
      <c r="S3" s="14"/>
      <c r="T3" s="14"/>
    </row>
    <row r="4" spans="1:20" ht="15" customHeight="1" x14ac:dyDescent="0.3">
      <c r="A4" s="15"/>
      <c r="B4" s="15"/>
      <c r="C4" s="13">
        <v>3</v>
      </c>
      <c r="D4" s="12">
        <v>0.28199999999999997</v>
      </c>
      <c r="E4" s="14"/>
      <c r="F4" s="14"/>
      <c r="H4" s="15"/>
      <c r="I4" s="15"/>
      <c r="J4" s="13">
        <v>3</v>
      </c>
      <c r="K4" s="12">
        <v>0.97299999999999998</v>
      </c>
      <c r="L4" s="14"/>
      <c r="M4" s="14"/>
      <c r="O4" s="15"/>
      <c r="P4" s="15"/>
      <c r="Q4" s="13">
        <v>3</v>
      </c>
      <c r="R4" s="12">
        <v>0.88300000000000001</v>
      </c>
      <c r="S4" s="14"/>
      <c r="T4" s="14"/>
    </row>
    <row r="5" spans="1:20" ht="15" customHeight="1" x14ac:dyDescent="0.3">
      <c r="A5" s="15"/>
      <c r="B5" s="15"/>
      <c r="C5" s="13">
        <v>4</v>
      </c>
      <c r="D5" s="12">
        <v>0.75600000000000001</v>
      </c>
      <c r="E5" s="14"/>
      <c r="F5" s="14"/>
      <c r="H5" s="15"/>
      <c r="I5" s="15"/>
      <c r="J5" s="13">
        <v>4</v>
      </c>
      <c r="K5" s="12">
        <v>0.97299999999999998</v>
      </c>
      <c r="L5" s="14"/>
      <c r="M5" s="14"/>
      <c r="O5" s="15"/>
      <c r="P5" s="15"/>
      <c r="Q5" s="13">
        <v>4</v>
      </c>
      <c r="R5" s="12">
        <v>0.92100000000000004</v>
      </c>
      <c r="S5" s="14"/>
      <c r="T5" s="14"/>
    </row>
    <row r="6" spans="1:20" ht="15" customHeight="1" x14ac:dyDescent="0.3">
      <c r="A6" s="15"/>
      <c r="B6" s="15"/>
      <c r="C6" s="13">
        <v>5</v>
      </c>
      <c r="D6" s="12">
        <v>0.68799999999999994</v>
      </c>
      <c r="E6" s="14"/>
      <c r="F6" s="14"/>
      <c r="H6" s="15"/>
      <c r="I6" s="15"/>
      <c r="J6" s="13">
        <v>5</v>
      </c>
      <c r="K6" s="12">
        <v>0.97299999999999998</v>
      </c>
      <c r="L6" s="14"/>
      <c r="M6" s="14"/>
      <c r="O6" s="15"/>
      <c r="P6" s="15"/>
      <c r="Q6" s="13">
        <v>5</v>
      </c>
      <c r="R6" s="12">
        <v>0.82399999999999995</v>
      </c>
      <c r="S6" s="14"/>
      <c r="T6" s="14"/>
    </row>
    <row r="7" spans="1:20" ht="15" customHeight="1" x14ac:dyDescent="0.3">
      <c r="A7" s="15"/>
      <c r="B7" s="15"/>
      <c r="C7" s="13">
        <v>6</v>
      </c>
      <c r="D7" s="12">
        <v>0.95199999999999996</v>
      </c>
      <c r="E7" s="14"/>
      <c r="F7" s="14"/>
      <c r="H7" s="15"/>
      <c r="I7" s="15"/>
      <c r="J7" s="13">
        <v>6</v>
      </c>
      <c r="K7" s="12">
        <v>1.7450000000000001</v>
      </c>
      <c r="L7" s="14"/>
      <c r="M7" s="14"/>
      <c r="O7" s="15"/>
      <c r="P7" s="15"/>
      <c r="Q7" s="13">
        <v>6</v>
      </c>
      <c r="R7" s="12">
        <v>0.78700000000000003</v>
      </c>
      <c r="S7" s="14"/>
      <c r="T7" s="14"/>
    </row>
    <row r="8" spans="1:20" ht="15" customHeight="1" x14ac:dyDescent="0.3">
      <c r="A8" s="15"/>
      <c r="B8" s="15"/>
      <c r="C8" s="13">
        <v>7</v>
      </c>
      <c r="D8" s="12">
        <v>1.1000000000000001</v>
      </c>
      <c r="E8" s="14"/>
      <c r="F8" s="14"/>
      <c r="H8" s="15"/>
      <c r="I8" s="15"/>
      <c r="J8" s="13">
        <v>7</v>
      </c>
      <c r="K8" s="12">
        <v>1.7450000000000001</v>
      </c>
      <c r="L8" s="14"/>
      <c r="M8" s="14"/>
      <c r="O8" s="15"/>
      <c r="P8" s="15"/>
      <c r="Q8" s="13">
        <v>7</v>
      </c>
      <c r="R8" s="12">
        <v>0.84199999999999997</v>
      </c>
      <c r="S8" s="14"/>
      <c r="T8" s="14"/>
    </row>
    <row r="9" spans="1:20" ht="15" customHeight="1" x14ac:dyDescent="0.3">
      <c r="A9" s="15"/>
      <c r="B9" s="15"/>
      <c r="C9" s="13">
        <v>8</v>
      </c>
      <c r="D9" s="12">
        <v>1.01</v>
      </c>
      <c r="E9" s="14"/>
      <c r="F9" s="14"/>
      <c r="H9" s="15"/>
      <c r="I9" s="15"/>
      <c r="J9" s="13">
        <v>8</v>
      </c>
      <c r="K9" s="12">
        <v>0.95799999999999996</v>
      </c>
      <c r="L9" s="14"/>
      <c r="M9" s="14"/>
      <c r="O9" s="15"/>
      <c r="P9" s="15"/>
      <c r="Q9" s="13">
        <v>8</v>
      </c>
      <c r="R9" s="12">
        <v>0.98399999999999999</v>
      </c>
      <c r="S9" s="14"/>
      <c r="T9" s="14"/>
    </row>
    <row r="10" spans="1:20" ht="15" customHeight="1" x14ac:dyDescent="0.3">
      <c r="A10" s="15"/>
      <c r="B10" s="15"/>
      <c r="C10" s="13">
        <v>9</v>
      </c>
      <c r="D10" s="12">
        <v>0.66300000000000003</v>
      </c>
      <c r="E10" s="14"/>
      <c r="F10" s="14"/>
      <c r="H10" s="15"/>
      <c r="I10" s="15"/>
      <c r="J10" s="13">
        <v>9</v>
      </c>
      <c r="K10" s="12">
        <v>0.88600000000000001</v>
      </c>
      <c r="L10" s="14"/>
      <c r="M10" s="14"/>
      <c r="O10" s="15"/>
      <c r="P10" s="15"/>
      <c r="Q10" s="13">
        <v>9</v>
      </c>
      <c r="R10" s="12">
        <v>0.82</v>
      </c>
      <c r="S10" s="14"/>
      <c r="T10" s="14"/>
    </row>
    <row r="11" spans="1:20" ht="15" customHeight="1" x14ac:dyDescent="0.3">
      <c r="A11" s="15"/>
      <c r="B11" s="15"/>
      <c r="C11" s="13">
        <v>10</v>
      </c>
      <c r="D11" s="12">
        <v>0.88</v>
      </c>
      <c r="E11" s="14"/>
      <c r="F11" s="14"/>
      <c r="H11" s="15"/>
      <c r="I11" s="15"/>
      <c r="J11" s="13">
        <v>10</v>
      </c>
      <c r="K11" s="12">
        <v>0.81100000000000005</v>
      </c>
      <c r="L11" s="14"/>
      <c r="M11" s="14"/>
      <c r="O11" s="15"/>
      <c r="P11" s="15"/>
      <c r="Q11" s="13">
        <v>10</v>
      </c>
      <c r="R11" s="12">
        <v>0.96699999999999997</v>
      </c>
      <c r="S11" s="14"/>
      <c r="T11" s="14"/>
    </row>
    <row r="12" spans="1:20" ht="15" customHeight="1" x14ac:dyDescent="0.3">
      <c r="A12" s="15"/>
      <c r="B12" s="15"/>
      <c r="C12" s="13">
        <v>11</v>
      </c>
      <c r="D12" s="12">
        <v>0.67800000000000005</v>
      </c>
      <c r="E12" s="14"/>
      <c r="F12" s="14"/>
      <c r="H12" s="15"/>
      <c r="I12" s="15"/>
      <c r="J12" s="13">
        <v>11</v>
      </c>
      <c r="K12" s="12">
        <v>1.1080000000000001</v>
      </c>
      <c r="L12" s="14"/>
      <c r="M12" s="14"/>
      <c r="O12" s="15"/>
      <c r="P12" s="15"/>
      <c r="Q12" s="13">
        <v>11</v>
      </c>
      <c r="R12" s="12">
        <v>0.85699999999999998</v>
      </c>
      <c r="S12" s="14"/>
      <c r="T12" s="14"/>
    </row>
    <row r="13" spans="1:20" ht="15" customHeight="1" x14ac:dyDescent="0.3">
      <c r="A13" s="15"/>
      <c r="B13" s="15"/>
      <c r="C13" s="13">
        <v>12</v>
      </c>
      <c r="D13" s="12">
        <v>0.74</v>
      </c>
      <c r="E13" s="14"/>
      <c r="F13" s="14"/>
      <c r="H13" s="15"/>
      <c r="I13" s="15"/>
      <c r="J13" s="13">
        <v>12</v>
      </c>
      <c r="K13" s="12">
        <v>1.1499999999999999</v>
      </c>
      <c r="L13" s="14"/>
      <c r="M13" s="14"/>
      <c r="O13" s="15"/>
      <c r="P13" s="15"/>
      <c r="Q13" s="13">
        <v>12</v>
      </c>
      <c r="R13" s="12">
        <v>1.3939999999999999</v>
      </c>
      <c r="S13" s="14"/>
      <c r="T13" s="14"/>
    </row>
    <row r="14" spans="1:20" ht="15" customHeight="1" x14ac:dyDescent="0.3">
      <c r="A14" s="15"/>
      <c r="B14" s="15"/>
      <c r="C14" s="13">
        <v>13</v>
      </c>
      <c r="D14" s="12">
        <v>0.91300000000000003</v>
      </c>
      <c r="E14" s="14"/>
      <c r="F14" s="14"/>
      <c r="H14" s="15"/>
      <c r="I14" s="15"/>
      <c r="J14" s="13">
        <v>13</v>
      </c>
      <c r="K14" s="12">
        <v>1.1120000000000001</v>
      </c>
      <c r="L14" s="14"/>
      <c r="M14" s="14"/>
      <c r="O14" s="15"/>
      <c r="P14" s="15"/>
      <c r="Q14" s="13">
        <v>13</v>
      </c>
      <c r="R14" s="12">
        <v>1.246</v>
      </c>
      <c r="S14" s="14"/>
      <c r="T14" s="14"/>
    </row>
    <row r="15" spans="1:20" ht="15" customHeight="1" x14ac:dyDescent="0.3">
      <c r="A15" s="15"/>
      <c r="B15" s="15"/>
      <c r="C15" s="13">
        <v>14</v>
      </c>
      <c r="D15" s="12">
        <v>1.1559999999999999</v>
      </c>
      <c r="E15" s="14"/>
      <c r="F15" s="14"/>
      <c r="H15" s="15"/>
      <c r="I15" s="15"/>
      <c r="J15" s="13">
        <v>14</v>
      </c>
      <c r="K15" s="12">
        <v>1.675</v>
      </c>
      <c r="L15" s="14"/>
      <c r="M15" s="14"/>
      <c r="O15" s="15"/>
      <c r="P15" s="15"/>
      <c r="Q15" s="13">
        <v>14</v>
      </c>
      <c r="R15" s="12">
        <v>0.95</v>
      </c>
      <c r="S15" s="14"/>
      <c r="T15" s="14"/>
    </row>
    <row r="16" spans="1:20" ht="15" customHeight="1" x14ac:dyDescent="0.3">
      <c r="A16" s="15"/>
      <c r="B16" s="15"/>
      <c r="C16" s="13">
        <v>15</v>
      </c>
      <c r="D16" s="12">
        <v>0.66</v>
      </c>
      <c r="E16" s="14"/>
      <c r="F16" s="14"/>
      <c r="H16" s="15"/>
      <c r="I16" s="15"/>
      <c r="J16" s="13">
        <v>15</v>
      </c>
      <c r="K16" s="12">
        <v>1.077</v>
      </c>
      <c r="L16" s="14"/>
      <c r="M16" s="14"/>
      <c r="O16" s="15"/>
      <c r="P16" s="15"/>
      <c r="Q16" s="13">
        <v>15</v>
      </c>
      <c r="R16" s="12">
        <v>0.86</v>
      </c>
      <c r="S16" s="14"/>
      <c r="T16" s="14"/>
    </row>
    <row r="18" spans="1:20" ht="15" customHeight="1" x14ac:dyDescent="0.3">
      <c r="A18" s="11" t="s">
        <v>62</v>
      </c>
      <c r="B18" s="11" t="s">
        <v>63</v>
      </c>
      <c r="C18" s="11" t="s">
        <v>64</v>
      </c>
      <c r="D18" s="11" t="s">
        <v>65</v>
      </c>
      <c r="E18" s="11" t="s">
        <v>66</v>
      </c>
      <c r="F18" s="11" t="s">
        <v>67</v>
      </c>
      <c r="H18" s="11" t="s">
        <v>62</v>
      </c>
      <c r="I18" s="11" t="s">
        <v>63</v>
      </c>
      <c r="J18" s="11" t="s">
        <v>64</v>
      </c>
      <c r="K18" s="11" t="s">
        <v>65</v>
      </c>
      <c r="L18" s="11" t="s">
        <v>66</v>
      </c>
      <c r="M18" s="11" t="s">
        <v>67</v>
      </c>
      <c r="O18" s="11" t="s">
        <v>62</v>
      </c>
      <c r="P18" s="11" t="s">
        <v>63</v>
      </c>
      <c r="Q18" s="11" t="s">
        <v>64</v>
      </c>
      <c r="R18" s="11" t="s">
        <v>65</v>
      </c>
      <c r="S18" s="11" t="s">
        <v>66</v>
      </c>
      <c r="T18" s="11" t="s">
        <v>67</v>
      </c>
    </row>
    <row r="19" spans="1:20" ht="15" customHeight="1" x14ac:dyDescent="0.3">
      <c r="A19" s="15">
        <v>3.8</v>
      </c>
      <c r="B19" s="15">
        <v>3.2</v>
      </c>
      <c r="C19" s="13">
        <v>1</v>
      </c>
      <c r="D19" s="12">
        <v>0.26100000000000001</v>
      </c>
      <c r="E19" s="14">
        <f>AVERAGE(D19:D33)</f>
        <v>0.31986666666666669</v>
      </c>
      <c r="F19" s="14">
        <f>_xlfn.VAR.S(D19:D33)</f>
        <v>9.0371238095238015E-3</v>
      </c>
      <c r="H19" s="15">
        <v>5.4</v>
      </c>
      <c r="I19" s="15">
        <v>2.8</v>
      </c>
      <c r="J19" s="13">
        <v>1</v>
      </c>
      <c r="K19" s="12">
        <v>0</v>
      </c>
      <c r="L19" s="14">
        <f>AVERAGE(K19:K33)</f>
        <v>0</v>
      </c>
      <c r="M19" s="14">
        <f>_xlfn.VAR.S(K19:K33)</f>
        <v>0</v>
      </c>
      <c r="O19" s="15">
        <v>5</v>
      </c>
      <c r="P19" s="15">
        <v>1.2</v>
      </c>
      <c r="Q19" s="13">
        <v>1</v>
      </c>
      <c r="R19" s="12">
        <v>0</v>
      </c>
      <c r="S19" s="14">
        <f>AVERAGE(R19:R33)</f>
        <v>0</v>
      </c>
      <c r="T19" s="14">
        <f>_xlfn.VAR.S(R19:R33)</f>
        <v>0</v>
      </c>
    </row>
    <row r="20" spans="1:20" ht="15" customHeight="1" x14ac:dyDescent="0.3">
      <c r="A20" s="15"/>
      <c r="B20" s="15"/>
      <c r="C20" s="13">
        <v>2</v>
      </c>
      <c r="D20" s="12">
        <v>0.28100000000000003</v>
      </c>
      <c r="E20" s="14"/>
      <c r="F20" s="14"/>
      <c r="H20" s="15"/>
      <c r="I20" s="15"/>
      <c r="J20" s="13">
        <v>2</v>
      </c>
      <c r="K20" s="12">
        <v>0</v>
      </c>
      <c r="L20" s="14"/>
      <c r="M20" s="14"/>
      <c r="O20" s="15"/>
      <c r="P20" s="15"/>
      <c r="Q20" s="13">
        <v>2</v>
      </c>
      <c r="R20" s="12">
        <v>0</v>
      </c>
      <c r="S20" s="14"/>
      <c r="T20" s="14"/>
    </row>
    <row r="21" spans="1:20" ht="15" customHeight="1" x14ac:dyDescent="0.3">
      <c r="A21" s="15"/>
      <c r="B21" s="15"/>
      <c r="C21" s="13">
        <v>3</v>
      </c>
      <c r="D21" s="12">
        <v>0.20699999999999999</v>
      </c>
      <c r="E21" s="14"/>
      <c r="F21" s="14"/>
      <c r="H21" s="15"/>
      <c r="I21" s="15"/>
      <c r="J21" s="13">
        <v>3</v>
      </c>
      <c r="K21" s="12">
        <v>0</v>
      </c>
      <c r="L21" s="14"/>
      <c r="M21" s="14"/>
      <c r="O21" s="15"/>
      <c r="P21" s="15"/>
      <c r="Q21" s="13">
        <v>3</v>
      </c>
      <c r="R21" s="12">
        <v>0</v>
      </c>
      <c r="S21" s="14"/>
      <c r="T21" s="14"/>
    </row>
    <row r="22" spans="1:20" ht="15" customHeight="1" x14ac:dyDescent="0.3">
      <c r="A22" s="15"/>
      <c r="B22" s="15"/>
      <c r="C22" s="13">
        <v>4</v>
      </c>
      <c r="D22" s="12">
        <v>0.20399999999999999</v>
      </c>
      <c r="E22" s="14"/>
      <c r="F22" s="14"/>
      <c r="H22" s="15"/>
      <c r="I22" s="15"/>
      <c r="J22" s="13">
        <v>4</v>
      </c>
      <c r="K22" s="12">
        <v>0</v>
      </c>
      <c r="L22" s="14"/>
      <c r="M22" s="14"/>
      <c r="O22" s="15"/>
      <c r="P22" s="15"/>
      <c r="Q22" s="13">
        <v>4</v>
      </c>
      <c r="R22" s="12">
        <v>0</v>
      </c>
      <c r="S22" s="14"/>
      <c r="T22" s="14"/>
    </row>
    <row r="23" spans="1:20" ht="15" customHeight="1" x14ac:dyDescent="0.3">
      <c r="A23" s="15"/>
      <c r="B23" s="15"/>
      <c r="C23" s="13">
        <v>5</v>
      </c>
      <c r="D23" s="12">
        <v>0.23599999999999999</v>
      </c>
      <c r="E23" s="14"/>
      <c r="F23" s="14"/>
      <c r="H23" s="15"/>
      <c r="I23" s="15"/>
      <c r="J23" s="13">
        <v>5</v>
      </c>
      <c r="K23" s="12">
        <v>0</v>
      </c>
      <c r="L23" s="14"/>
      <c r="M23" s="14"/>
      <c r="O23" s="15"/>
      <c r="P23" s="15"/>
      <c r="Q23" s="13">
        <v>5</v>
      </c>
      <c r="R23" s="12">
        <v>0</v>
      </c>
      <c r="S23" s="14"/>
      <c r="T23" s="14"/>
    </row>
    <row r="24" spans="1:20" ht="15" customHeight="1" x14ac:dyDescent="0.3">
      <c r="A24" s="15"/>
      <c r="B24" s="15"/>
      <c r="C24" s="13">
        <v>6</v>
      </c>
      <c r="D24" s="12">
        <v>0.35699999999999998</v>
      </c>
      <c r="E24" s="14"/>
      <c r="F24" s="14"/>
      <c r="H24" s="15"/>
      <c r="I24" s="15"/>
      <c r="J24" s="13">
        <v>6</v>
      </c>
      <c r="K24" s="12">
        <v>0</v>
      </c>
      <c r="L24" s="14"/>
      <c r="M24" s="14"/>
      <c r="O24" s="15"/>
      <c r="P24" s="15"/>
      <c r="Q24" s="13">
        <v>6</v>
      </c>
      <c r="R24" s="12">
        <v>0</v>
      </c>
      <c r="S24" s="14"/>
      <c r="T24" s="14"/>
    </row>
    <row r="25" spans="1:20" ht="15" customHeight="1" x14ac:dyDescent="0.3">
      <c r="A25" s="15"/>
      <c r="B25" s="15"/>
      <c r="C25" s="13">
        <v>7</v>
      </c>
      <c r="D25" s="12">
        <v>0.46100000000000002</v>
      </c>
      <c r="E25" s="14"/>
      <c r="F25" s="14"/>
      <c r="H25" s="15"/>
      <c r="I25" s="15"/>
      <c r="J25" s="13">
        <v>7</v>
      </c>
      <c r="K25" s="12">
        <v>0</v>
      </c>
      <c r="L25" s="14"/>
      <c r="M25" s="14"/>
      <c r="O25" s="15"/>
      <c r="P25" s="15"/>
      <c r="Q25" s="13">
        <v>7</v>
      </c>
      <c r="R25" s="12">
        <v>0</v>
      </c>
      <c r="S25" s="14"/>
      <c r="T25" s="14"/>
    </row>
    <row r="26" spans="1:20" ht="15" customHeight="1" x14ac:dyDescent="0.3">
      <c r="A26" s="15"/>
      <c r="B26" s="15"/>
      <c r="C26" s="13">
        <v>8</v>
      </c>
      <c r="D26" s="12">
        <v>0.31</v>
      </c>
      <c r="E26" s="14"/>
      <c r="F26" s="14"/>
      <c r="H26" s="15"/>
      <c r="I26" s="15"/>
      <c r="J26" s="13">
        <v>8</v>
      </c>
      <c r="K26" s="12">
        <v>0</v>
      </c>
      <c r="L26" s="14"/>
      <c r="M26" s="14"/>
      <c r="O26" s="15"/>
      <c r="P26" s="15"/>
      <c r="Q26" s="13">
        <v>8</v>
      </c>
      <c r="R26" s="12">
        <v>0</v>
      </c>
      <c r="S26" s="14"/>
      <c r="T26" s="14"/>
    </row>
    <row r="27" spans="1:20" ht="15" customHeight="1" x14ac:dyDescent="0.3">
      <c r="A27" s="15"/>
      <c r="B27" s="15"/>
      <c r="C27" s="13">
        <v>9</v>
      </c>
      <c r="D27" s="12">
        <v>0.496</v>
      </c>
      <c r="E27" s="14"/>
      <c r="F27" s="14"/>
      <c r="H27" s="15"/>
      <c r="I27" s="15"/>
      <c r="J27" s="13">
        <v>9</v>
      </c>
      <c r="K27" s="12">
        <v>0</v>
      </c>
      <c r="L27" s="14"/>
      <c r="M27" s="14"/>
      <c r="O27" s="15"/>
      <c r="P27" s="15"/>
      <c r="Q27" s="13">
        <v>9</v>
      </c>
      <c r="R27" s="12">
        <v>0</v>
      </c>
      <c r="S27" s="14"/>
      <c r="T27" s="14"/>
    </row>
    <row r="28" spans="1:20" ht="15" customHeight="1" x14ac:dyDescent="0.3">
      <c r="A28" s="15"/>
      <c r="B28" s="15"/>
      <c r="C28" s="13">
        <v>10</v>
      </c>
      <c r="D28" s="12">
        <v>0.40799999999999997</v>
      </c>
      <c r="E28" s="14"/>
      <c r="F28" s="14"/>
      <c r="H28" s="15"/>
      <c r="I28" s="15"/>
      <c r="J28" s="13">
        <v>10</v>
      </c>
      <c r="K28" s="12">
        <v>0</v>
      </c>
      <c r="L28" s="14"/>
      <c r="M28" s="14"/>
      <c r="O28" s="15"/>
      <c r="P28" s="15"/>
      <c r="Q28" s="13">
        <v>10</v>
      </c>
      <c r="R28" s="12">
        <v>0</v>
      </c>
      <c r="S28" s="14"/>
      <c r="T28" s="14"/>
    </row>
    <row r="29" spans="1:20" ht="15" customHeight="1" x14ac:dyDescent="0.3">
      <c r="A29" s="15"/>
      <c r="B29" s="15"/>
      <c r="C29" s="13">
        <v>11</v>
      </c>
      <c r="D29" s="12">
        <v>0.36299999999999999</v>
      </c>
      <c r="E29" s="14"/>
      <c r="F29" s="14"/>
      <c r="H29" s="15"/>
      <c r="I29" s="15"/>
      <c r="J29" s="13">
        <v>11</v>
      </c>
      <c r="K29" s="12">
        <v>0</v>
      </c>
      <c r="L29" s="14"/>
      <c r="M29" s="14"/>
      <c r="O29" s="15"/>
      <c r="P29" s="15"/>
      <c r="Q29" s="13">
        <v>11</v>
      </c>
      <c r="R29" s="12">
        <v>0</v>
      </c>
      <c r="S29" s="14"/>
      <c r="T29" s="14"/>
    </row>
    <row r="30" spans="1:20" ht="15" customHeight="1" x14ac:dyDescent="0.3">
      <c r="A30" s="15"/>
      <c r="B30" s="15"/>
      <c r="C30" s="13">
        <v>12</v>
      </c>
      <c r="D30" s="12">
        <v>0.28699999999999998</v>
      </c>
      <c r="E30" s="14"/>
      <c r="F30" s="14"/>
      <c r="H30" s="15"/>
      <c r="I30" s="15"/>
      <c r="J30" s="13">
        <v>12</v>
      </c>
      <c r="K30" s="12">
        <v>0</v>
      </c>
      <c r="L30" s="14"/>
      <c r="M30" s="14"/>
      <c r="O30" s="15"/>
      <c r="P30" s="15"/>
      <c r="Q30" s="13">
        <v>12</v>
      </c>
      <c r="R30" s="12">
        <v>0</v>
      </c>
      <c r="S30" s="14"/>
      <c r="T30" s="14"/>
    </row>
    <row r="31" spans="1:20" ht="15" customHeight="1" x14ac:dyDescent="0.3">
      <c r="A31" s="15"/>
      <c r="B31" s="15"/>
      <c r="C31" s="13">
        <v>13</v>
      </c>
      <c r="D31" s="12">
        <v>0.42</v>
      </c>
      <c r="E31" s="14"/>
      <c r="F31" s="14"/>
      <c r="H31" s="15"/>
      <c r="I31" s="15"/>
      <c r="J31" s="13">
        <v>13</v>
      </c>
      <c r="K31" s="12">
        <v>0</v>
      </c>
      <c r="L31" s="14"/>
      <c r="M31" s="14"/>
      <c r="O31" s="15"/>
      <c r="P31" s="15"/>
      <c r="Q31" s="13">
        <v>13</v>
      </c>
      <c r="R31" s="12">
        <v>0</v>
      </c>
      <c r="S31" s="14"/>
      <c r="T31" s="14"/>
    </row>
    <row r="32" spans="1:20" ht="15" customHeight="1" x14ac:dyDescent="0.3">
      <c r="A32" s="15"/>
      <c r="B32" s="15"/>
      <c r="C32" s="13">
        <v>14</v>
      </c>
      <c r="D32" s="12">
        <v>0.31</v>
      </c>
      <c r="E32" s="14"/>
      <c r="F32" s="14"/>
      <c r="H32" s="15"/>
      <c r="I32" s="15"/>
      <c r="J32" s="13">
        <v>14</v>
      </c>
      <c r="K32" s="12">
        <v>0</v>
      </c>
      <c r="L32" s="14"/>
      <c r="M32" s="14"/>
      <c r="O32" s="15"/>
      <c r="P32" s="15"/>
      <c r="Q32" s="13">
        <v>14</v>
      </c>
      <c r="R32" s="12">
        <v>0</v>
      </c>
      <c r="S32" s="14"/>
      <c r="T32" s="14"/>
    </row>
    <row r="33" spans="1:20" ht="15" customHeight="1" x14ac:dyDescent="0.3">
      <c r="A33" s="15"/>
      <c r="B33" s="15"/>
      <c r="C33" s="13">
        <v>15</v>
      </c>
      <c r="D33" s="12">
        <v>0.19700000000000001</v>
      </c>
      <c r="E33" s="14"/>
      <c r="F33" s="14"/>
      <c r="H33" s="15"/>
      <c r="I33" s="15"/>
      <c r="J33" s="13">
        <v>15</v>
      </c>
      <c r="K33" s="12">
        <v>0</v>
      </c>
      <c r="L33" s="14"/>
      <c r="M33" s="14"/>
      <c r="O33" s="15"/>
      <c r="P33" s="15"/>
      <c r="Q33" s="13">
        <v>15</v>
      </c>
      <c r="R33" s="12">
        <v>0</v>
      </c>
      <c r="S33" s="14"/>
      <c r="T33" s="14"/>
    </row>
    <row r="35" spans="1:20" ht="15" customHeight="1" x14ac:dyDescent="0.3">
      <c r="A35" s="11" t="s">
        <v>68</v>
      </c>
      <c r="B35" s="15" t="s">
        <v>71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</row>
  </sheetData>
  <mergeCells count="25">
    <mergeCell ref="L19:L33"/>
    <mergeCell ref="M19:M33"/>
    <mergeCell ref="B35:T35"/>
    <mergeCell ref="O19:O33"/>
    <mergeCell ref="P19:P33"/>
    <mergeCell ref="S19:S33"/>
    <mergeCell ref="T19:T33"/>
    <mergeCell ref="I19:I33"/>
    <mergeCell ref="A19:A33"/>
    <mergeCell ref="B19:B33"/>
    <mergeCell ref="E19:E33"/>
    <mergeCell ref="F19:F33"/>
    <mergeCell ref="H19:H33"/>
    <mergeCell ref="T2:T16"/>
    <mergeCell ref="A2:A16"/>
    <mergeCell ref="B2:B16"/>
    <mergeCell ref="E2:E16"/>
    <mergeCell ref="F2:F16"/>
    <mergeCell ref="H2:H16"/>
    <mergeCell ref="I2:I16"/>
    <mergeCell ref="L2:L16"/>
    <mergeCell ref="M2:M16"/>
    <mergeCell ref="O2:O16"/>
    <mergeCell ref="P2:P16"/>
    <mergeCell ref="S2:S16"/>
  </mergeCells>
  <phoneticPr fontId="1" type="noConversion"/>
  <conditionalFormatting sqref="D2:D1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D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1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B2C45-7028-4FA7-A864-010B0E75CE80}">
  <dimension ref="A1:T35"/>
  <sheetViews>
    <sheetView topLeftCell="A8" workbookViewId="0">
      <selection activeCell="H19" sqref="H19:H33"/>
    </sheetView>
  </sheetViews>
  <sheetFormatPr defaultColWidth="10.75" defaultRowHeight="15" customHeight="1" x14ac:dyDescent="0.3"/>
  <cols>
    <col min="1" max="16384" width="10.75" style="10"/>
  </cols>
  <sheetData>
    <row r="1" spans="1:20" ht="15" customHeight="1" x14ac:dyDescent="0.3">
      <c r="A1" s="11" t="s">
        <v>62</v>
      </c>
      <c r="B1" s="11" t="s">
        <v>63</v>
      </c>
      <c r="C1" s="11" t="s">
        <v>64</v>
      </c>
      <c r="D1" s="11" t="s">
        <v>65</v>
      </c>
      <c r="E1" s="11" t="s">
        <v>66</v>
      </c>
      <c r="F1" s="11" t="s">
        <v>67</v>
      </c>
      <c r="H1" s="11" t="s">
        <v>62</v>
      </c>
      <c r="I1" s="11" t="s">
        <v>63</v>
      </c>
      <c r="J1" s="11" t="s">
        <v>64</v>
      </c>
      <c r="K1" s="11" t="s">
        <v>65</v>
      </c>
      <c r="L1" s="11" t="s">
        <v>66</v>
      </c>
      <c r="M1" s="11" t="s">
        <v>67</v>
      </c>
      <c r="O1" s="11" t="s">
        <v>62</v>
      </c>
      <c r="P1" s="11" t="s">
        <v>63</v>
      </c>
      <c r="Q1" s="11" t="s">
        <v>64</v>
      </c>
      <c r="R1" s="11" t="s">
        <v>65</v>
      </c>
      <c r="S1" s="11" t="s">
        <v>66</v>
      </c>
      <c r="T1" s="11" t="s">
        <v>67</v>
      </c>
    </row>
    <row r="2" spans="1:20" ht="15" customHeight="1" x14ac:dyDescent="0.3">
      <c r="A2" s="15">
        <v>4.5999999999999996</v>
      </c>
      <c r="B2" s="15">
        <v>2.4</v>
      </c>
      <c r="C2" s="13">
        <v>1</v>
      </c>
      <c r="D2" s="12"/>
      <c r="E2" s="14" t="e">
        <f>AVERAGE(D2:D16)</f>
        <v>#DIV/0!</v>
      </c>
      <c r="F2" s="14" t="e">
        <f>_xlfn.VAR.S(D2:D16)</f>
        <v>#DIV/0!</v>
      </c>
      <c r="H2" s="15">
        <v>3.8</v>
      </c>
      <c r="I2" s="15">
        <v>2.4</v>
      </c>
      <c r="J2" s="13">
        <v>1</v>
      </c>
      <c r="K2" s="12"/>
      <c r="L2" s="14" t="e">
        <f>AVERAGE(K2:K16)</f>
        <v>#DIV/0!</v>
      </c>
      <c r="M2" s="14" t="e">
        <f>_xlfn.VAR.S(K2:K16)</f>
        <v>#DIV/0!</v>
      </c>
      <c r="O2" s="15">
        <v>4.2</v>
      </c>
      <c r="P2" s="15">
        <v>1.6</v>
      </c>
      <c r="Q2" s="13">
        <v>1</v>
      </c>
      <c r="R2" s="12"/>
      <c r="S2" s="14" t="e">
        <f>AVERAGE(R2:R16)</f>
        <v>#DIV/0!</v>
      </c>
      <c r="T2" s="14" t="e">
        <f>_xlfn.VAR.S(R2:R16)</f>
        <v>#DIV/0!</v>
      </c>
    </row>
    <row r="3" spans="1:20" ht="15" customHeight="1" x14ac:dyDescent="0.3">
      <c r="A3" s="15"/>
      <c r="B3" s="15"/>
      <c r="C3" s="13">
        <v>2</v>
      </c>
      <c r="D3" s="12"/>
      <c r="E3" s="14"/>
      <c r="F3" s="14"/>
      <c r="H3" s="15"/>
      <c r="I3" s="15"/>
      <c r="J3" s="13">
        <v>2</v>
      </c>
      <c r="K3" s="12"/>
      <c r="L3" s="14"/>
      <c r="M3" s="14"/>
      <c r="O3" s="15"/>
      <c r="P3" s="15"/>
      <c r="Q3" s="13">
        <v>2</v>
      </c>
      <c r="R3" s="12"/>
      <c r="S3" s="14"/>
      <c r="T3" s="14"/>
    </row>
    <row r="4" spans="1:20" ht="15" customHeight="1" x14ac:dyDescent="0.3">
      <c r="A4" s="15"/>
      <c r="B4" s="15"/>
      <c r="C4" s="13">
        <v>3</v>
      </c>
      <c r="D4" s="12"/>
      <c r="E4" s="14"/>
      <c r="F4" s="14"/>
      <c r="H4" s="15"/>
      <c r="I4" s="15"/>
      <c r="J4" s="13">
        <v>3</v>
      </c>
      <c r="K4" s="12"/>
      <c r="L4" s="14"/>
      <c r="M4" s="14"/>
      <c r="O4" s="15"/>
      <c r="P4" s="15"/>
      <c r="Q4" s="13">
        <v>3</v>
      </c>
      <c r="R4" s="12"/>
      <c r="S4" s="14"/>
      <c r="T4" s="14"/>
    </row>
    <row r="5" spans="1:20" ht="15" customHeight="1" x14ac:dyDescent="0.3">
      <c r="A5" s="15"/>
      <c r="B5" s="15"/>
      <c r="C5" s="13">
        <v>4</v>
      </c>
      <c r="D5" s="12"/>
      <c r="E5" s="14"/>
      <c r="F5" s="14"/>
      <c r="H5" s="15"/>
      <c r="I5" s="15"/>
      <c r="J5" s="13">
        <v>4</v>
      </c>
      <c r="K5" s="12"/>
      <c r="L5" s="14"/>
      <c r="M5" s="14"/>
      <c r="O5" s="15"/>
      <c r="P5" s="15"/>
      <c r="Q5" s="13">
        <v>4</v>
      </c>
      <c r="R5" s="12"/>
      <c r="S5" s="14"/>
      <c r="T5" s="14"/>
    </row>
    <row r="6" spans="1:20" ht="15" customHeight="1" x14ac:dyDescent="0.3">
      <c r="A6" s="15"/>
      <c r="B6" s="15"/>
      <c r="C6" s="13">
        <v>5</v>
      </c>
      <c r="D6" s="12"/>
      <c r="E6" s="14"/>
      <c r="F6" s="14"/>
      <c r="H6" s="15"/>
      <c r="I6" s="15"/>
      <c r="J6" s="13">
        <v>5</v>
      </c>
      <c r="K6" s="12"/>
      <c r="L6" s="14"/>
      <c r="M6" s="14"/>
      <c r="O6" s="15"/>
      <c r="P6" s="15"/>
      <c r="Q6" s="13">
        <v>5</v>
      </c>
      <c r="R6" s="12"/>
      <c r="S6" s="14"/>
      <c r="T6" s="14"/>
    </row>
    <row r="7" spans="1:20" ht="15" customHeight="1" x14ac:dyDescent="0.3">
      <c r="A7" s="15"/>
      <c r="B7" s="15"/>
      <c r="C7" s="13">
        <v>6</v>
      </c>
      <c r="D7" s="12"/>
      <c r="E7" s="14"/>
      <c r="F7" s="14"/>
      <c r="H7" s="15"/>
      <c r="I7" s="15"/>
      <c r="J7" s="13">
        <v>6</v>
      </c>
      <c r="K7" s="12"/>
      <c r="L7" s="14"/>
      <c r="M7" s="14"/>
      <c r="O7" s="15"/>
      <c r="P7" s="15"/>
      <c r="Q7" s="13">
        <v>6</v>
      </c>
      <c r="R7" s="12"/>
      <c r="S7" s="14"/>
      <c r="T7" s="14"/>
    </row>
    <row r="8" spans="1:20" ht="15" customHeight="1" x14ac:dyDescent="0.3">
      <c r="A8" s="15"/>
      <c r="B8" s="15"/>
      <c r="C8" s="13">
        <v>7</v>
      </c>
      <c r="D8" s="12"/>
      <c r="E8" s="14"/>
      <c r="F8" s="14"/>
      <c r="H8" s="15"/>
      <c r="I8" s="15"/>
      <c r="J8" s="13">
        <v>7</v>
      </c>
      <c r="K8" s="12"/>
      <c r="L8" s="14"/>
      <c r="M8" s="14"/>
      <c r="O8" s="15"/>
      <c r="P8" s="15"/>
      <c r="Q8" s="13">
        <v>7</v>
      </c>
      <c r="R8" s="12"/>
      <c r="S8" s="14"/>
      <c r="T8" s="14"/>
    </row>
    <row r="9" spans="1:20" ht="15" customHeight="1" x14ac:dyDescent="0.3">
      <c r="A9" s="15"/>
      <c r="B9" s="15"/>
      <c r="C9" s="13">
        <v>8</v>
      </c>
      <c r="D9" s="12"/>
      <c r="E9" s="14"/>
      <c r="F9" s="14"/>
      <c r="H9" s="15"/>
      <c r="I9" s="15"/>
      <c r="J9" s="13">
        <v>8</v>
      </c>
      <c r="K9" s="12"/>
      <c r="L9" s="14"/>
      <c r="M9" s="14"/>
      <c r="O9" s="15"/>
      <c r="P9" s="15"/>
      <c r="Q9" s="13">
        <v>8</v>
      </c>
      <c r="R9" s="12"/>
      <c r="S9" s="14"/>
      <c r="T9" s="14"/>
    </row>
    <row r="10" spans="1:20" ht="15" customHeight="1" x14ac:dyDescent="0.3">
      <c r="A10" s="15"/>
      <c r="B10" s="15"/>
      <c r="C10" s="13">
        <v>9</v>
      </c>
      <c r="D10" s="12"/>
      <c r="E10" s="14"/>
      <c r="F10" s="14"/>
      <c r="H10" s="15"/>
      <c r="I10" s="15"/>
      <c r="J10" s="13">
        <v>9</v>
      </c>
      <c r="K10" s="12"/>
      <c r="L10" s="14"/>
      <c r="M10" s="14"/>
      <c r="O10" s="15"/>
      <c r="P10" s="15"/>
      <c r="Q10" s="13">
        <v>9</v>
      </c>
      <c r="R10" s="12"/>
      <c r="S10" s="14"/>
      <c r="T10" s="14"/>
    </row>
    <row r="11" spans="1:20" ht="15" customHeight="1" x14ac:dyDescent="0.3">
      <c r="A11" s="15"/>
      <c r="B11" s="15"/>
      <c r="C11" s="13">
        <v>10</v>
      </c>
      <c r="D11" s="12"/>
      <c r="E11" s="14"/>
      <c r="F11" s="14"/>
      <c r="H11" s="15"/>
      <c r="I11" s="15"/>
      <c r="J11" s="13">
        <v>10</v>
      </c>
      <c r="K11" s="12"/>
      <c r="L11" s="14"/>
      <c r="M11" s="14"/>
      <c r="O11" s="15"/>
      <c r="P11" s="15"/>
      <c r="Q11" s="13">
        <v>10</v>
      </c>
      <c r="R11" s="12"/>
      <c r="S11" s="14"/>
      <c r="T11" s="14"/>
    </row>
    <row r="12" spans="1:20" ht="15" customHeight="1" x14ac:dyDescent="0.3">
      <c r="A12" s="15"/>
      <c r="B12" s="15"/>
      <c r="C12" s="13">
        <v>11</v>
      </c>
      <c r="D12" s="12"/>
      <c r="E12" s="14"/>
      <c r="F12" s="14"/>
      <c r="H12" s="15"/>
      <c r="I12" s="15"/>
      <c r="J12" s="13">
        <v>11</v>
      </c>
      <c r="K12" s="12"/>
      <c r="L12" s="14"/>
      <c r="M12" s="14"/>
      <c r="O12" s="15"/>
      <c r="P12" s="15"/>
      <c r="Q12" s="13">
        <v>11</v>
      </c>
      <c r="R12" s="12"/>
      <c r="S12" s="14"/>
      <c r="T12" s="14"/>
    </row>
    <row r="13" spans="1:20" ht="15" customHeight="1" x14ac:dyDescent="0.3">
      <c r="A13" s="15"/>
      <c r="B13" s="15"/>
      <c r="C13" s="13">
        <v>12</v>
      </c>
      <c r="D13" s="12"/>
      <c r="E13" s="14"/>
      <c r="F13" s="14"/>
      <c r="H13" s="15"/>
      <c r="I13" s="15"/>
      <c r="J13" s="13">
        <v>12</v>
      </c>
      <c r="K13" s="12"/>
      <c r="L13" s="14"/>
      <c r="M13" s="14"/>
      <c r="O13" s="15"/>
      <c r="P13" s="15"/>
      <c r="Q13" s="13">
        <v>12</v>
      </c>
      <c r="R13" s="12"/>
      <c r="S13" s="14"/>
      <c r="T13" s="14"/>
    </row>
    <row r="14" spans="1:20" ht="15" customHeight="1" x14ac:dyDescent="0.3">
      <c r="A14" s="15"/>
      <c r="B14" s="15"/>
      <c r="C14" s="13">
        <v>13</v>
      </c>
      <c r="D14" s="12"/>
      <c r="E14" s="14"/>
      <c r="F14" s="14"/>
      <c r="H14" s="15"/>
      <c r="I14" s="15"/>
      <c r="J14" s="13">
        <v>13</v>
      </c>
      <c r="K14" s="12"/>
      <c r="L14" s="14"/>
      <c r="M14" s="14"/>
      <c r="O14" s="15"/>
      <c r="P14" s="15"/>
      <c r="Q14" s="13">
        <v>13</v>
      </c>
      <c r="R14" s="12"/>
      <c r="S14" s="14"/>
      <c r="T14" s="14"/>
    </row>
    <row r="15" spans="1:20" ht="15" customHeight="1" x14ac:dyDescent="0.3">
      <c r="A15" s="15"/>
      <c r="B15" s="15"/>
      <c r="C15" s="13">
        <v>14</v>
      </c>
      <c r="D15" s="12"/>
      <c r="E15" s="14"/>
      <c r="F15" s="14"/>
      <c r="H15" s="15"/>
      <c r="I15" s="15"/>
      <c r="J15" s="13">
        <v>14</v>
      </c>
      <c r="K15" s="12"/>
      <c r="L15" s="14"/>
      <c r="M15" s="14"/>
      <c r="O15" s="15"/>
      <c r="P15" s="15"/>
      <c r="Q15" s="13">
        <v>14</v>
      </c>
      <c r="R15" s="12"/>
      <c r="S15" s="14"/>
      <c r="T15" s="14"/>
    </row>
    <row r="16" spans="1:20" ht="15" customHeight="1" x14ac:dyDescent="0.3">
      <c r="A16" s="15"/>
      <c r="B16" s="15"/>
      <c r="C16" s="13">
        <v>15</v>
      </c>
      <c r="D16" s="12"/>
      <c r="E16" s="14"/>
      <c r="F16" s="14"/>
      <c r="H16" s="15"/>
      <c r="I16" s="15"/>
      <c r="J16" s="13">
        <v>15</v>
      </c>
      <c r="K16" s="12"/>
      <c r="L16" s="14"/>
      <c r="M16" s="14"/>
      <c r="O16" s="15"/>
      <c r="P16" s="15"/>
      <c r="Q16" s="13">
        <v>15</v>
      </c>
      <c r="R16" s="12"/>
      <c r="S16" s="14"/>
      <c r="T16" s="14"/>
    </row>
    <row r="18" spans="1:20" ht="15" customHeight="1" x14ac:dyDescent="0.3">
      <c r="A18" s="11" t="s">
        <v>62</v>
      </c>
      <c r="B18" s="11" t="s">
        <v>63</v>
      </c>
      <c r="C18" s="11" t="s">
        <v>64</v>
      </c>
      <c r="D18" s="11" t="s">
        <v>65</v>
      </c>
      <c r="E18" s="11" t="s">
        <v>66</v>
      </c>
      <c r="F18" s="11" t="s">
        <v>67</v>
      </c>
      <c r="H18" s="11" t="s">
        <v>62</v>
      </c>
      <c r="I18" s="11" t="s">
        <v>63</v>
      </c>
      <c r="J18" s="11" t="s">
        <v>64</v>
      </c>
      <c r="K18" s="11" t="s">
        <v>65</v>
      </c>
      <c r="L18" s="11" t="s">
        <v>66</v>
      </c>
      <c r="M18" s="11" t="s">
        <v>67</v>
      </c>
      <c r="O18" s="11" t="s">
        <v>62</v>
      </c>
      <c r="P18" s="11" t="s">
        <v>63</v>
      </c>
      <c r="Q18" s="11" t="s">
        <v>64</v>
      </c>
      <c r="R18" s="11" t="s">
        <v>65</v>
      </c>
      <c r="S18" s="11" t="s">
        <v>66</v>
      </c>
      <c r="T18" s="11" t="s">
        <v>67</v>
      </c>
    </row>
    <row r="19" spans="1:20" ht="15" customHeight="1" x14ac:dyDescent="0.3">
      <c r="A19" s="15">
        <v>3.8</v>
      </c>
      <c r="B19" s="15">
        <v>3.2</v>
      </c>
      <c r="C19" s="13">
        <v>1</v>
      </c>
      <c r="D19" s="12"/>
      <c r="E19" s="14" t="e">
        <f>AVERAGE(D19:D33)</f>
        <v>#DIV/0!</v>
      </c>
      <c r="F19" s="14" t="e">
        <f>_xlfn.VAR.S(D19:D33)</f>
        <v>#DIV/0!</v>
      </c>
      <c r="H19" s="15">
        <v>5.4</v>
      </c>
      <c r="I19" s="15">
        <v>2.8</v>
      </c>
      <c r="J19" s="13">
        <v>1</v>
      </c>
      <c r="K19" s="12"/>
      <c r="L19" s="14" t="e">
        <f>AVERAGE(K19:K33)</f>
        <v>#DIV/0!</v>
      </c>
      <c r="M19" s="14" t="e">
        <f>_xlfn.VAR.S(K19:K33)</f>
        <v>#DIV/0!</v>
      </c>
      <c r="O19" s="15">
        <v>5</v>
      </c>
      <c r="P19" s="15">
        <v>1.2</v>
      </c>
      <c r="Q19" s="13">
        <v>1</v>
      </c>
      <c r="R19" s="12"/>
      <c r="S19" s="14" t="e">
        <f>AVERAGE(R19:R33)</f>
        <v>#DIV/0!</v>
      </c>
      <c r="T19" s="14" t="e">
        <f>_xlfn.VAR.S(R19:R33)</f>
        <v>#DIV/0!</v>
      </c>
    </row>
    <row r="20" spans="1:20" ht="15" customHeight="1" x14ac:dyDescent="0.3">
      <c r="A20" s="15"/>
      <c r="B20" s="15"/>
      <c r="C20" s="13">
        <v>2</v>
      </c>
      <c r="D20" s="12"/>
      <c r="E20" s="14"/>
      <c r="F20" s="14"/>
      <c r="H20" s="15"/>
      <c r="I20" s="15"/>
      <c r="J20" s="13">
        <v>2</v>
      </c>
      <c r="K20" s="12"/>
      <c r="L20" s="14"/>
      <c r="M20" s="14"/>
      <c r="O20" s="15"/>
      <c r="P20" s="15"/>
      <c r="Q20" s="13">
        <v>2</v>
      </c>
      <c r="R20" s="12"/>
      <c r="S20" s="14"/>
      <c r="T20" s="14"/>
    </row>
    <row r="21" spans="1:20" ht="15" customHeight="1" x14ac:dyDescent="0.3">
      <c r="A21" s="15"/>
      <c r="B21" s="15"/>
      <c r="C21" s="13">
        <v>3</v>
      </c>
      <c r="D21" s="12"/>
      <c r="E21" s="14"/>
      <c r="F21" s="14"/>
      <c r="H21" s="15"/>
      <c r="I21" s="15"/>
      <c r="J21" s="13">
        <v>3</v>
      </c>
      <c r="K21" s="12"/>
      <c r="L21" s="14"/>
      <c r="M21" s="14"/>
      <c r="O21" s="15"/>
      <c r="P21" s="15"/>
      <c r="Q21" s="13">
        <v>3</v>
      </c>
      <c r="R21" s="12"/>
      <c r="S21" s="14"/>
      <c r="T21" s="14"/>
    </row>
    <row r="22" spans="1:20" ht="15" customHeight="1" x14ac:dyDescent="0.3">
      <c r="A22" s="15"/>
      <c r="B22" s="15"/>
      <c r="C22" s="13">
        <v>4</v>
      </c>
      <c r="D22" s="12"/>
      <c r="E22" s="14"/>
      <c r="F22" s="14"/>
      <c r="H22" s="15"/>
      <c r="I22" s="15"/>
      <c r="J22" s="13">
        <v>4</v>
      </c>
      <c r="K22" s="12"/>
      <c r="L22" s="14"/>
      <c r="M22" s="14"/>
      <c r="O22" s="15"/>
      <c r="P22" s="15"/>
      <c r="Q22" s="13">
        <v>4</v>
      </c>
      <c r="R22" s="12"/>
      <c r="S22" s="14"/>
      <c r="T22" s="14"/>
    </row>
    <row r="23" spans="1:20" ht="15" customHeight="1" x14ac:dyDescent="0.3">
      <c r="A23" s="15"/>
      <c r="B23" s="15"/>
      <c r="C23" s="13">
        <v>5</v>
      </c>
      <c r="D23" s="12"/>
      <c r="E23" s="14"/>
      <c r="F23" s="14"/>
      <c r="H23" s="15"/>
      <c r="I23" s="15"/>
      <c r="J23" s="13">
        <v>5</v>
      </c>
      <c r="K23" s="12"/>
      <c r="L23" s="14"/>
      <c r="M23" s="14"/>
      <c r="O23" s="15"/>
      <c r="P23" s="15"/>
      <c r="Q23" s="13">
        <v>5</v>
      </c>
      <c r="R23" s="12"/>
      <c r="S23" s="14"/>
      <c r="T23" s="14"/>
    </row>
    <row r="24" spans="1:20" ht="15" customHeight="1" x14ac:dyDescent="0.3">
      <c r="A24" s="15"/>
      <c r="B24" s="15"/>
      <c r="C24" s="13">
        <v>6</v>
      </c>
      <c r="D24" s="12"/>
      <c r="E24" s="14"/>
      <c r="F24" s="14"/>
      <c r="H24" s="15"/>
      <c r="I24" s="15"/>
      <c r="J24" s="13">
        <v>6</v>
      </c>
      <c r="K24" s="12"/>
      <c r="L24" s="14"/>
      <c r="M24" s="14"/>
      <c r="O24" s="15"/>
      <c r="P24" s="15"/>
      <c r="Q24" s="13">
        <v>6</v>
      </c>
      <c r="R24" s="12"/>
      <c r="S24" s="14"/>
      <c r="T24" s="14"/>
    </row>
    <row r="25" spans="1:20" ht="15" customHeight="1" x14ac:dyDescent="0.3">
      <c r="A25" s="15"/>
      <c r="B25" s="15"/>
      <c r="C25" s="13">
        <v>7</v>
      </c>
      <c r="D25" s="12"/>
      <c r="E25" s="14"/>
      <c r="F25" s="14"/>
      <c r="H25" s="15"/>
      <c r="I25" s="15"/>
      <c r="J25" s="13">
        <v>7</v>
      </c>
      <c r="K25" s="12"/>
      <c r="L25" s="14"/>
      <c r="M25" s="14"/>
      <c r="O25" s="15"/>
      <c r="P25" s="15"/>
      <c r="Q25" s="13">
        <v>7</v>
      </c>
      <c r="R25" s="12"/>
      <c r="S25" s="14"/>
      <c r="T25" s="14"/>
    </row>
    <row r="26" spans="1:20" ht="15" customHeight="1" x14ac:dyDescent="0.3">
      <c r="A26" s="15"/>
      <c r="B26" s="15"/>
      <c r="C26" s="13">
        <v>8</v>
      </c>
      <c r="D26" s="12"/>
      <c r="E26" s="14"/>
      <c r="F26" s="14"/>
      <c r="H26" s="15"/>
      <c r="I26" s="15"/>
      <c r="J26" s="13">
        <v>8</v>
      </c>
      <c r="K26" s="12"/>
      <c r="L26" s="14"/>
      <c r="M26" s="14"/>
      <c r="O26" s="15"/>
      <c r="P26" s="15"/>
      <c r="Q26" s="13">
        <v>8</v>
      </c>
      <c r="R26" s="12"/>
      <c r="S26" s="14"/>
      <c r="T26" s="14"/>
    </row>
    <row r="27" spans="1:20" ht="15" customHeight="1" x14ac:dyDescent="0.3">
      <c r="A27" s="15"/>
      <c r="B27" s="15"/>
      <c r="C27" s="13">
        <v>9</v>
      </c>
      <c r="D27" s="12"/>
      <c r="E27" s="14"/>
      <c r="F27" s="14"/>
      <c r="H27" s="15"/>
      <c r="I27" s="15"/>
      <c r="J27" s="13">
        <v>9</v>
      </c>
      <c r="K27" s="12"/>
      <c r="L27" s="14"/>
      <c r="M27" s="14"/>
      <c r="O27" s="15"/>
      <c r="P27" s="15"/>
      <c r="Q27" s="13">
        <v>9</v>
      </c>
      <c r="R27" s="12"/>
      <c r="S27" s="14"/>
      <c r="T27" s="14"/>
    </row>
    <row r="28" spans="1:20" ht="15" customHeight="1" x14ac:dyDescent="0.3">
      <c r="A28" s="15"/>
      <c r="B28" s="15"/>
      <c r="C28" s="13">
        <v>10</v>
      </c>
      <c r="D28" s="12"/>
      <c r="E28" s="14"/>
      <c r="F28" s="14"/>
      <c r="H28" s="15"/>
      <c r="I28" s="15"/>
      <c r="J28" s="13">
        <v>10</v>
      </c>
      <c r="K28" s="12"/>
      <c r="L28" s="14"/>
      <c r="M28" s="14"/>
      <c r="O28" s="15"/>
      <c r="P28" s="15"/>
      <c r="Q28" s="13">
        <v>10</v>
      </c>
      <c r="R28" s="12"/>
      <c r="S28" s="14"/>
      <c r="T28" s="14"/>
    </row>
    <row r="29" spans="1:20" ht="15" customHeight="1" x14ac:dyDescent="0.3">
      <c r="A29" s="15"/>
      <c r="B29" s="15"/>
      <c r="C29" s="13">
        <v>11</v>
      </c>
      <c r="D29" s="12"/>
      <c r="E29" s="14"/>
      <c r="F29" s="14"/>
      <c r="H29" s="15"/>
      <c r="I29" s="15"/>
      <c r="J29" s="13">
        <v>11</v>
      </c>
      <c r="K29" s="12"/>
      <c r="L29" s="14"/>
      <c r="M29" s="14"/>
      <c r="O29" s="15"/>
      <c r="P29" s="15"/>
      <c r="Q29" s="13">
        <v>11</v>
      </c>
      <c r="R29" s="12"/>
      <c r="S29" s="14"/>
      <c r="T29" s="14"/>
    </row>
    <row r="30" spans="1:20" ht="15" customHeight="1" x14ac:dyDescent="0.3">
      <c r="A30" s="15"/>
      <c r="B30" s="15"/>
      <c r="C30" s="13">
        <v>12</v>
      </c>
      <c r="D30" s="12"/>
      <c r="E30" s="14"/>
      <c r="F30" s="14"/>
      <c r="H30" s="15"/>
      <c r="I30" s="15"/>
      <c r="J30" s="13">
        <v>12</v>
      </c>
      <c r="K30" s="12"/>
      <c r="L30" s="14"/>
      <c r="M30" s="14"/>
      <c r="O30" s="15"/>
      <c r="P30" s="15"/>
      <c r="Q30" s="13">
        <v>12</v>
      </c>
      <c r="R30" s="12"/>
      <c r="S30" s="14"/>
      <c r="T30" s="14"/>
    </row>
    <row r="31" spans="1:20" ht="15" customHeight="1" x14ac:dyDescent="0.3">
      <c r="A31" s="15"/>
      <c r="B31" s="15"/>
      <c r="C31" s="13">
        <v>13</v>
      </c>
      <c r="D31" s="12"/>
      <c r="E31" s="14"/>
      <c r="F31" s="14"/>
      <c r="H31" s="15"/>
      <c r="I31" s="15"/>
      <c r="J31" s="13">
        <v>13</v>
      </c>
      <c r="K31" s="12"/>
      <c r="L31" s="14"/>
      <c r="M31" s="14"/>
      <c r="O31" s="15"/>
      <c r="P31" s="15"/>
      <c r="Q31" s="13">
        <v>13</v>
      </c>
      <c r="R31" s="12"/>
      <c r="S31" s="14"/>
      <c r="T31" s="14"/>
    </row>
    <row r="32" spans="1:20" ht="15" customHeight="1" x14ac:dyDescent="0.3">
      <c r="A32" s="15"/>
      <c r="B32" s="15"/>
      <c r="C32" s="13">
        <v>14</v>
      </c>
      <c r="D32" s="12"/>
      <c r="E32" s="14"/>
      <c r="F32" s="14"/>
      <c r="H32" s="15"/>
      <c r="I32" s="15"/>
      <c r="J32" s="13">
        <v>14</v>
      </c>
      <c r="K32" s="12"/>
      <c r="L32" s="14"/>
      <c r="M32" s="14"/>
      <c r="O32" s="15"/>
      <c r="P32" s="15"/>
      <c r="Q32" s="13">
        <v>14</v>
      </c>
      <c r="R32" s="12"/>
      <c r="S32" s="14"/>
      <c r="T32" s="14"/>
    </row>
    <row r="33" spans="1:20" ht="15" customHeight="1" x14ac:dyDescent="0.3">
      <c r="A33" s="15"/>
      <c r="B33" s="15"/>
      <c r="C33" s="13">
        <v>15</v>
      </c>
      <c r="D33" s="12"/>
      <c r="E33" s="14"/>
      <c r="F33" s="14"/>
      <c r="H33" s="15"/>
      <c r="I33" s="15"/>
      <c r="J33" s="13">
        <v>15</v>
      </c>
      <c r="K33" s="12"/>
      <c r="L33" s="14"/>
      <c r="M33" s="14"/>
      <c r="O33" s="15"/>
      <c r="P33" s="15"/>
      <c r="Q33" s="13">
        <v>15</v>
      </c>
      <c r="R33" s="12"/>
      <c r="S33" s="14"/>
      <c r="T33" s="14"/>
    </row>
    <row r="35" spans="1:20" ht="15" customHeight="1" x14ac:dyDescent="0.3">
      <c r="A35" s="11" t="s">
        <v>68</v>
      </c>
      <c r="B35" s="15" t="s">
        <v>70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</row>
  </sheetData>
  <mergeCells count="25">
    <mergeCell ref="L19:L33"/>
    <mergeCell ref="M19:M33"/>
    <mergeCell ref="B35:T35"/>
    <mergeCell ref="O19:O33"/>
    <mergeCell ref="P19:P33"/>
    <mergeCell ref="S19:S33"/>
    <mergeCell ref="T19:T33"/>
    <mergeCell ref="I19:I33"/>
    <mergeCell ref="A19:A33"/>
    <mergeCell ref="B19:B33"/>
    <mergeCell ref="E19:E33"/>
    <mergeCell ref="F19:F33"/>
    <mergeCell ref="H19:H33"/>
    <mergeCell ref="T2:T16"/>
    <mergeCell ref="A2:A16"/>
    <mergeCell ref="B2:B16"/>
    <mergeCell ref="E2:E16"/>
    <mergeCell ref="F2:F16"/>
    <mergeCell ref="H2:H16"/>
    <mergeCell ref="I2:I16"/>
    <mergeCell ref="L2:L16"/>
    <mergeCell ref="M2:M16"/>
    <mergeCell ref="O2:O16"/>
    <mergeCell ref="P2:P16"/>
    <mergeCell ref="S2:S16"/>
  </mergeCells>
  <phoneticPr fontId="1" type="noConversion"/>
  <conditionalFormatting sqref="D2:D1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D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1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33BBA-40CA-460B-A449-80674E1A5D41}">
  <dimension ref="A1:P14"/>
  <sheetViews>
    <sheetView workbookViewId="0">
      <selection activeCell="K5" sqref="K5"/>
    </sheetView>
  </sheetViews>
  <sheetFormatPr defaultColWidth="10.75" defaultRowHeight="20.149999999999999" customHeight="1" x14ac:dyDescent="0.3"/>
  <cols>
    <col min="1" max="16384" width="10.75" style="3"/>
  </cols>
  <sheetData>
    <row r="1" spans="1:16" ht="20.149999999999999" customHeight="1" x14ac:dyDescent="0.3">
      <c r="A1" s="7" t="s">
        <v>55</v>
      </c>
      <c r="B1" s="7">
        <v>0</v>
      </c>
      <c r="C1" s="7">
        <v>1.2</v>
      </c>
      <c r="D1" s="7">
        <v>2.2000000000000002</v>
      </c>
      <c r="E1" s="7">
        <f>D1+0.4</f>
        <v>2.6</v>
      </c>
      <c r="F1" s="7">
        <f t="shared" ref="F1:N1" si="0">E1+0.4</f>
        <v>3</v>
      </c>
      <c r="G1" s="7">
        <f t="shared" si="0"/>
        <v>3.4</v>
      </c>
      <c r="H1" s="7">
        <f t="shared" si="0"/>
        <v>3.8</v>
      </c>
      <c r="I1" s="8">
        <f t="shared" si="0"/>
        <v>4.2</v>
      </c>
      <c r="J1" s="7">
        <f t="shared" si="0"/>
        <v>4.6000000000000005</v>
      </c>
      <c r="K1" s="7">
        <f t="shared" si="0"/>
        <v>5.0000000000000009</v>
      </c>
      <c r="L1" s="7">
        <f t="shared" si="0"/>
        <v>5.4000000000000012</v>
      </c>
      <c r="M1" s="7">
        <f t="shared" si="0"/>
        <v>5.8000000000000016</v>
      </c>
      <c r="N1" s="7">
        <f t="shared" si="0"/>
        <v>6.200000000000002</v>
      </c>
      <c r="O1" s="7">
        <v>7.2</v>
      </c>
      <c r="P1" s="7">
        <v>8.4</v>
      </c>
    </row>
    <row r="2" spans="1:16" ht="20.149999999999999" customHeight="1" x14ac:dyDescent="0.3">
      <c r="A2" s="7">
        <v>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6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</row>
    <row r="3" spans="1:16" ht="20.149999999999999" customHeight="1" x14ac:dyDescent="0.3">
      <c r="A3" s="7">
        <v>0.4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6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</row>
    <row r="4" spans="1:16" ht="20.149999999999999" customHeight="1" x14ac:dyDescent="0.3">
      <c r="A4" s="7">
        <f t="shared" ref="A4:A13" si="1">A3+0.4</f>
        <v>0.8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6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</row>
    <row r="5" spans="1:16" ht="20.149999999999999" customHeight="1" x14ac:dyDescent="0.3">
      <c r="A5" s="7">
        <f t="shared" si="1"/>
        <v>1.2000000000000002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6">
        <v>0</v>
      </c>
      <c r="J5" s="5">
        <v>0</v>
      </c>
      <c r="K5" s="5">
        <v>0.251</v>
      </c>
      <c r="L5" s="5">
        <v>0</v>
      </c>
      <c r="M5" s="5">
        <v>0</v>
      </c>
      <c r="N5" s="5">
        <v>0</v>
      </c>
      <c r="O5" s="5">
        <v>0</v>
      </c>
      <c r="P5" s="5">
        <v>0</v>
      </c>
    </row>
    <row r="6" spans="1:16" ht="20.149999999999999" customHeight="1" x14ac:dyDescent="0.3">
      <c r="A6" s="7">
        <f t="shared" si="1"/>
        <v>1.6</v>
      </c>
      <c r="B6" s="5">
        <v>0</v>
      </c>
      <c r="C6" s="5">
        <v>0</v>
      </c>
      <c r="D6" s="5">
        <v>0</v>
      </c>
      <c r="E6" s="5">
        <v>0</v>
      </c>
      <c r="F6" s="5">
        <v>0.16400000000000001</v>
      </c>
      <c r="G6" s="5">
        <v>0.11600000000000001</v>
      </c>
      <c r="H6" s="5">
        <v>0.66300000000000003</v>
      </c>
      <c r="I6" s="6">
        <v>0.33100000000000002</v>
      </c>
      <c r="J6" s="5">
        <v>0.496</v>
      </c>
      <c r="K6" s="5">
        <v>0.13700000000000001</v>
      </c>
      <c r="L6" s="5">
        <v>0</v>
      </c>
      <c r="M6" s="5">
        <v>0</v>
      </c>
      <c r="N6" s="5">
        <v>0</v>
      </c>
      <c r="O6" s="5">
        <v>0</v>
      </c>
      <c r="P6" s="5">
        <v>0</v>
      </c>
    </row>
    <row r="7" spans="1:16" ht="20.149999999999999" customHeight="1" x14ac:dyDescent="0.3">
      <c r="A7" s="7">
        <f t="shared" si="1"/>
        <v>2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0.46100000000000002</v>
      </c>
      <c r="H7" s="5">
        <v>2.653</v>
      </c>
      <c r="I7" s="6">
        <v>2.8439999999999999</v>
      </c>
      <c r="J7" s="5">
        <v>2.0670000000000002</v>
      </c>
      <c r="K7" s="5">
        <v>0.64900000000000002</v>
      </c>
      <c r="L7" s="5">
        <v>0.22</v>
      </c>
      <c r="M7" s="5">
        <v>0</v>
      </c>
      <c r="N7" s="5">
        <v>0</v>
      </c>
      <c r="O7" s="5">
        <v>0</v>
      </c>
      <c r="P7" s="5">
        <v>0</v>
      </c>
    </row>
    <row r="8" spans="1:16" ht="20.149999999999999" customHeight="1" x14ac:dyDescent="0.3">
      <c r="A8" s="8">
        <f t="shared" si="1"/>
        <v>2.4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0.23899999999999999</v>
      </c>
      <c r="H8" s="6">
        <v>2.0390000000000001</v>
      </c>
      <c r="I8" s="6">
        <v>1.1419999999999999</v>
      </c>
      <c r="J8" s="6">
        <v>3.1589999999999998</v>
      </c>
      <c r="K8" s="6">
        <v>1.351</v>
      </c>
      <c r="L8" s="6">
        <v>8.5999999999999993E-2</v>
      </c>
      <c r="M8" s="6">
        <v>0</v>
      </c>
      <c r="N8" s="6">
        <v>0</v>
      </c>
      <c r="O8" s="6">
        <v>0</v>
      </c>
      <c r="P8" s="6">
        <v>0</v>
      </c>
    </row>
    <row r="9" spans="1:16" ht="20.149999999999999" customHeight="1" x14ac:dyDescent="0.3">
      <c r="A9" s="7">
        <f t="shared" si="1"/>
        <v>2.8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1.3380000000000001</v>
      </c>
      <c r="H9" s="5">
        <v>2.6280000000000001</v>
      </c>
      <c r="I9" s="6">
        <v>1.448</v>
      </c>
      <c r="J9" s="5">
        <v>1.921</v>
      </c>
      <c r="K9" s="5">
        <v>0.55800000000000005</v>
      </c>
      <c r="L9" s="5">
        <v>7.0000000000000007E-2</v>
      </c>
      <c r="M9" s="5">
        <v>0</v>
      </c>
      <c r="N9" s="5">
        <v>0</v>
      </c>
      <c r="O9" s="5">
        <v>0</v>
      </c>
      <c r="P9" s="5">
        <v>0</v>
      </c>
    </row>
    <row r="10" spans="1:16" ht="20.149999999999999" customHeight="1" x14ac:dyDescent="0.3">
      <c r="A10" s="7">
        <f t="shared" si="1"/>
        <v>3.1999999999999997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0.33700000000000002</v>
      </c>
      <c r="H10" s="5">
        <v>1.0640000000000001</v>
      </c>
      <c r="I10" s="6">
        <v>0.57699999999999996</v>
      </c>
      <c r="J10" s="5">
        <v>0.89500000000000002</v>
      </c>
      <c r="K10" s="5">
        <v>0.36799999999999999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</row>
    <row r="11" spans="1:16" ht="20.149999999999999" customHeight="1" x14ac:dyDescent="0.3">
      <c r="A11" s="7">
        <f t="shared" si="1"/>
        <v>3.5999999999999996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0.191</v>
      </c>
      <c r="I11" s="6">
        <v>0</v>
      </c>
      <c r="J11" s="5">
        <v>0.10199999999999999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</row>
    <row r="12" spans="1:16" ht="20.149999999999999" customHeight="1" x14ac:dyDescent="0.3">
      <c r="A12" s="7">
        <f t="shared" si="1"/>
        <v>3.9999999999999996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6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</row>
    <row r="13" spans="1:16" ht="20.149999999999999" customHeight="1" x14ac:dyDescent="0.3">
      <c r="A13" s="7">
        <f t="shared" si="1"/>
        <v>4.3999999999999995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6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</row>
    <row r="14" spans="1:16" ht="20.149999999999999" customHeight="1" x14ac:dyDescent="0.3">
      <c r="A14" s="7">
        <v>4.8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6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</row>
  </sheetData>
  <phoneticPr fontId="1" type="noConversion"/>
  <conditionalFormatting sqref="B2:P1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D02C4-7CCA-4ED9-8261-6B7667BB2399}">
  <dimension ref="A1:T33"/>
  <sheetViews>
    <sheetView zoomScale="85" zoomScaleNormal="85" workbookViewId="0">
      <selection sqref="A1:XFD1048576"/>
    </sheetView>
  </sheetViews>
  <sheetFormatPr defaultColWidth="10.75" defaultRowHeight="15" customHeight="1" x14ac:dyDescent="0.3"/>
  <cols>
    <col min="1" max="16384" width="10.75" style="10"/>
  </cols>
  <sheetData>
    <row r="1" spans="1:20" ht="15" customHeight="1" x14ac:dyDescent="0.3">
      <c r="A1" s="11" t="s">
        <v>62</v>
      </c>
      <c r="B1" s="11" t="s">
        <v>63</v>
      </c>
      <c r="C1" s="11" t="s">
        <v>64</v>
      </c>
      <c r="D1" s="11" t="s">
        <v>65</v>
      </c>
      <c r="E1" s="11" t="s">
        <v>66</v>
      </c>
      <c r="F1" s="11" t="s">
        <v>67</v>
      </c>
      <c r="H1" s="11" t="s">
        <v>62</v>
      </c>
      <c r="I1" s="11" t="s">
        <v>63</v>
      </c>
      <c r="J1" s="11" t="s">
        <v>64</v>
      </c>
      <c r="K1" s="11" t="s">
        <v>65</v>
      </c>
      <c r="L1" s="11" t="s">
        <v>66</v>
      </c>
      <c r="M1" s="11" t="s">
        <v>67</v>
      </c>
      <c r="O1" s="11" t="s">
        <v>62</v>
      </c>
      <c r="P1" s="11" t="s">
        <v>63</v>
      </c>
      <c r="Q1" s="11" t="s">
        <v>64</v>
      </c>
      <c r="R1" s="11" t="s">
        <v>65</v>
      </c>
      <c r="S1" s="11" t="s">
        <v>66</v>
      </c>
      <c r="T1" s="11" t="s">
        <v>67</v>
      </c>
    </row>
    <row r="2" spans="1:20" ht="15" customHeight="1" x14ac:dyDescent="0.3">
      <c r="A2" s="15">
        <v>4.5999999999999996</v>
      </c>
      <c r="B2" s="15">
        <v>2.4</v>
      </c>
      <c r="C2" s="13">
        <v>1</v>
      </c>
      <c r="D2" s="12">
        <v>3.2490000000000001</v>
      </c>
      <c r="E2" s="14">
        <f>AVERAGE(D2:D16)</f>
        <v>3.1594666666666669</v>
      </c>
      <c r="F2" s="14">
        <f>_xlfn.VAR.S(D2:D16)</f>
        <v>6.6996266666666679E-2</v>
      </c>
      <c r="H2" s="15">
        <v>3.8</v>
      </c>
      <c r="I2" s="15">
        <v>2.4</v>
      </c>
      <c r="J2" s="13">
        <v>1</v>
      </c>
      <c r="K2" s="12">
        <v>1.63</v>
      </c>
      <c r="L2" s="14">
        <f>AVERAGE(K2:K16)</f>
        <v>2.0391333333333335</v>
      </c>
      <c r="M2" s="14">
        <f>_xlfn.VAR.S(K2:K16)</f>
        <v>7.9382552380952376E-2</v>
      </c>
      <c r="O2" s="15">
        <v>4.2</v>
      </c>
      <c r="P2" s="15">
        <v>1.6</v>
      </c>
      <c r="Q2" s="13">
        <v>1</v>
      </c>
      <c r="R2" s="12">
        <v>0.317</v>
      </c>
      <c r="S2" s="14">
        <f>AVERAGE(R2:R16)</f>
        <v>0.33119999999999994</v>
      </c>
      <c r="T2" s="14">
        <f>_xlfn.VAR.S(R2:R16)</f>
        <v>1.0526171428571485E-2</v>
      </c>
    </row>
    <row r="3" spans="1:20" ht="15" customHeight="1" x14ac:dyDescent="0.3">
      <c r="A3" s="15"/>
      <c r="B3" s="15"/>
      <c r="C3" s="13">
        <v>2</v>
      </c>
      <c r="D3" s="12">
        <v>2.81</v>
      </c>
      <c r="E3" s="14"/>
      <c r="F3" s="14"/>
      <c r="H3" s="15"/>
      <c r="I3" s="15"/>
      <c r="J3" s="13">
        <v>2</v>
      </c>
      <c r="K3" s="12">
        <v>2.5129999999999999</v>
      </c>
      <c r="L3" s="14"/>
      <c r="M3" s="14"/>
      <c r="O3" s="15"/>
      <c r="P3" s="15"/>
      <c r="Q3" s="13">
        <v>2</v>
      </c>
      <c r="R3" s="12">
        <v>0.46200000000000002</v>
      </c>
      <c r="S3" s="14"/>
      <c r="T3" s="14"/>
    </row>
    <row r="4" spans="1:20" ht="15" customHeight="1" x14ac:dyDescent="0.3">
      <c r="A4" s="15"/>
      <c r="B4" s="15"/>
      <c r="C4" s="13">
        <v>3</v>
      </c>
      <c r="D4" s="12">
        <v>3.2429999999999999</v>
      </c>
      <c r="E4" s="14"/>
      <c r="F4" s="14"/>
      <c r="H4" s="15"/>
      <c r="I4" s="15"/>
      <c r="J4" s="13">
        <v>3</v>
      </c>
      <c r="K4" s="12">
        <v>1.8759999999999999</v>
      </c>
      <c r="L4" s="14"/>
      <c r="M4" s="14"/>
      <c r="O4" s="15"/>
      <c r="P4" s="15"/>
      <c r="Q4" s="13">
        <v>3</v>
      </c>
      <c r="R4" s="12">
        <v>0.45500000000000002</v>
      </c>
      <c r="S4" s="14"/>
      <c r="T4" s="14"/>
    </row>
    <row r="5" spans="1:20" ht="15" customHeight="1" x14ac:dyDescent="0.3">
      <c r="A5" s="15"/>
      <c r="B5" s="15"/>
      <c r="C5" s="13">
        <v>4</v>
      </c>
      <c r="D5" s="12">
        <v>3.2559999999999998</v>
      </c>
      <c r="E5" s="14"/>
      <c r="F5" s="14"/>
      <c r="H5" s="15"/>
      <c r="I5" s="15"/>
      <c r="J5" s="13">
        <v>4</v>
      </c>
      <c r="K5" s="12">
        <v>2.14</v>
      </c>
      <c r="L5" s="14"/>
      <c r="M5" s="14"/>
      <c r="O5" s="15"/>
      <c r="P5" s="15"/>
      <c r="Q5" s="13">
        <v>4</v>
      </c>
      <c r="R5" s="12">
        <v>0.33100000000000002</v>
      </c>
      <c r="S5" s="14"/>
      <c r="T5" s="14"/>
    </row>
    <row r="6" spans="1:20" ht="15" customHeight="1" x14ac:dyDescent="0.3">
      <c r="A6" s="15"/>
      <c r="B6" s="15"/>
      <c r="C6" s="13">
        <v>5</v>
      </c>
      <c r="D6" s="12">
        <v>2.9289999999999998</v>
      </c>
      <c r="E6" s="14"/>
      <c r="F6" s="14"/>
      <c r="H6" s="15"/>
      <c r="I6" s="15"/>
      <c r="J6" s="13">
        <v>5</v>
      </c>
      <c r="K6" s="12">
        <v>1.8169999999999999</v>
      </c>
      <c r="L6" s="14"/>
      <c r="M6" s="14"/>
      <c r="O6" s="15"/>
      <c r="P6" s="15"/>
      <c r="Q6" s="13">
        <v>5</v>
      </c>
      <c r="R6" s="12">
        <v>0.47599999999999998</v>
      </c>
      <c r="S6" s="14"/>
      <c r="T6" s="14"/>
    </row>
    <row r="7" spans="1:20" ht="15" customHeight="1" x14ac:dyDescent="0.3">
      <c r="A7" s="15"/>
      <c r="B7" s="15"/>
      <c r="C7" s="13">
        <v>6</v>
      </c>
      <c r="D7" s="12">
        <v>3.589</v>
      </c>
      <c r="E7" s="14"/>
      <c r="F7" s="14"/>
      <c r="H7" s="15"/>
      <c r="I7" s="15"/>
      <c r="J7" s="13">
        <v>6</v>
      </c>
      <c r="K7" s="12">
        <v>2.4580000000000002</v>
      </c>
      <c r="L7" s="14"/>
      <c r="M7" s="14"/>
      <c r="O7" s="15"/>
      <c r="P7" s="15"/>
      <c r="Q7" s="13">
        <v>6</v>
      </c>
      <c r="R7" s="12">
        <v>0.27500000000000002</v>
      </c>
      <c r="S7" s="14"/>
      <c r="T7" s="14"/>
    </row>
    <row r="8" spans="1:20" ht="15" customHeight="1" x14ac:dyDescent="0.3">
      <c r="A8" s="15"/>
      <c r="B8" s="15"/>
      <c r="C8" s="13">
        <v>7</v>
      </c>
      <c r="D8" s="12">
        <v>2.8479999999999999</v>
      </c>
      <c r="E8" s="14"/>
      <c r="F8" s="14"/>
      <c r="H8" s="15"/>
      <c r="I8" s="15"/>
      <c r="J8" s="13">
        <v>7</v>
      </c>
      <c r="K8" s="12">
        <v>2.339</v>
      </c>
      <c r="L8" s="14"/>
      <c r="M8" s="14"/>
      <c r="O8" s="15"/>
      <c r="P8" s="15"/>
      <c r="Q8" s="13">
        <v>7</v>
      </c>
      <c r="R8" s="12">
        <v>0.13600000000000001</v>
      </c>
      <c r="S8" s="14"/>
      <c r="T8" s="14"/>
    </row>
    <row r="9" spans="1:20" ht="15" customHeight="1" x14ac:dyDescent="0.3">
      <c r="A9" s="15"/>
      <c r="B9" s="15"/>
      <c r="C9" s="13">
        <v>8</v>
      </c>
      <c r="D9" s="12">
        <v>2.9409999999999998</v>
      </c>
      <c r="E9" s="14"/>
      <c r="F9" s="14"/>
      <c r="H9" s="15"/>
      <c r="I9" s="15"/>
      <c r="J9" s="13">
        <v>8</v>
      </c>
      <c r="K9" s="12">
        <v>1.865</v>
      </c>
      <c r="L9" s="14"/>
      <c r="M9" s="14"/>
      <c r="O9" s="15"/>
      <c r="P9" s="15"/>
      <c r="Q9" s="13">
        <v>8</v>
      </c>
      <c r="R9" s="12">
        <v>0.24399999999999999</v>
      </c>
      <c r="S9" s="14"/>
      <c r="T9" s="14"/>
    </row>
    <row r="10" spans="1:20" ht="15" customHeight="1" x14ac:dyDescent="0.3">
      <c r="A10" s="15"/>
      <c r="B10" s="15"/>
      <c r="C10" s="13">
        <v>9</v>
      </c>
      <c r="D10" s="12">
        <v>3.504</v>
      </c>
      <c r="E10" s="14"/>
      <c r="F10" s="14"/>
      <c r="H10" s="15"/>
      <c r="I10" s="15"/>
      <c r="J10" s="13">
        <v>9</v>
      </c>
      <c r="K10" s="12">
        <v>1.714</v>
      </c>
      <c r="L10" s="14"/>
      <c r="M10" s="14"/>
      <c r="O10" s="15"/>
      <c r="P10" s="15"/>
      <c r="Q10" s="13">
        <v>9</v>
      </c>
      <c r="R10" s="12">
        <v>0.33600000000000002</v>
      </c>
      <c r="S10" s="14"/>
      <c r="T10" s="14"/>
    </row>
    <row r="11" spans="1:20" ht="15" customHeight="1" x14ac:dyDescent="0.3">
      <c r="A11" s="15"/>
      <c r="B11" s="15"/>
      <c r="C11" s="13">
        <v>10</v>
      </c>
      <c r="D11" s="12">
        <v>3.5760000000000001</v>
      </c>
      <c r="E11" s="14"/>
      <c r="F11" s="14"/>
      <c r="H11" s="15"/>
      <c r="I11" s="15"/>
      <c r="J11" s="13">
        <v>10</v>
      </c>
      <c r="K11" s="12">
        <v>2.1349999999999998</v>
      </c>
      <c r="L11" s="14"/>
      <c r="M11" s="14"/>
      <c r="O11" s="15"/>
      <c r="P11" s="15"/>
      <c r="Q11" s="13">
        <v>10</v>
      </c>
      <c r="R11" s="12">
        <v>0.373</v>
      </c>
      <c r="S11" s="14"/>
      <c r="T11" s="14"/>
    </row>
    <row r="12" spans="1:20" ht="15" customHeight="1" x14ac:dyDescent="0.3">
      <c r="A12" s="15"/>
      <c r="B12" s="15"/>
      <c r="C12" s="13">
        <v>11</v>
      </c>
      <c r="D12" s="12">
        <v>3.1579999999999999</v>
      </c>
      <c r="E12" s="14"/>
      <c r="F12" s="14"/>
      <c r="H12" s="15"/>
      <c r="I12" s="15"/>
      <c r="J12" s="13">
        <v>11</v>
      </c>
      <c r="K12" s="12">
        <v>1.68</v>
      </c>
      <c r="L12" s="14"/>
      <c r="M12" s="14"/>
      <c r="O12" s="15"/>
      <c r="P12" s="15"/>
      <c r="Q12" s="13">
        <v>11</v>
      </c>
      <c r="R12" s="12">
        <v>0.22900000000000001</v>
      </c>
      <c r="S12" s="14"/>
      <c r="T12" s="14"/>
    </row>
    <row r="13" spans="1:20" ht="15" customHeight="1" x14ac:dyDescent="0.3">
      <c r="A13" s="15"/>
      <c r="B13" s="15"/>
      <c r="C13" s="13">
        <v>12</v>
      </c>
      <c r="D13" s="12">
        <v>3.1829999999999998</v>
      </c>
      <c r="E13" s="14"/>
      <c r="F13" s="14"/>
      <c r="H13" s="15"/>
      <c r="I13" s="15"/>
      <c r="J13" s="13">
        <v>12</v>
      </c>
      <c r="K13" s="12">
        <v>1.98</v>
      </c>
      <c r="L13" s="14"/>
      <c r="M13" s="14"/>
      <c r="O13" s="15"/>
      <c r="P13" s="15"/>
      <c r="Q13" s="13">
        <v>12</v>
      </c>
      <c r="R13" s="12">
        <v>0.23599999999999999</v>
      </c>
      <c r="S13" s="14"/>
      <c r="T13" s="14"/>
    </row>
    <row r="14" spans="1:20" ht="15" customHeight="1" x14ac:dyDescent="0.3">
      <c r="A14" s="15"/>
      <c r="B14" s="15"/>
      <c r="C14" s="13">
        <v>13</v>
      </c>
      <c r="D14" s="12">
        <v>3.2469999999999999</v>
      </c>
      <c r="E14" s="14"/>
      <c r="F14" s="14"/>
      <c r="H14" s="15"/>
      <c r="I14" s="15"/>
      <c r="J14" s="13">
        <v>13</v>
      </c>
      <c r="K14" s="12">
        <v>2.0550000000000002</v>
      </c>
      <c r="L14" s="14"/>
      <c r="M14" s="14"/>
      <c r="O14" s="15"/>
      <c r="P14" s="15"/>
      <c r="Q14" s="13">
        <v>13</v>
      </c>
      <c r="R14" s="12">
        <v>0.38200000000000001</v>
      </c>
      <c r="S14" s="14"/>
      <c r="T14" s="14"/>
    </row>
    <row r="15" spans="1:20" ht="15" customHeight="1" x14ac:dyDescent="0.3">
      <c r="A15" s="15"/>
      <c r="B15" s="15"/>
      <c r="C15" s="13">
        <v>14</v>
      </c>
      <c r="D15" s="12">
        <v>2.968</v>
      </c>
      <c r="E15" s="14"/>
      <c r="F15" s="14"/>
      <c r="H15" s="15"/>
      <c r="I15" s="15"/>
      <c r="J15" s="13">
        <v>14</v>
      </c>
      <c r="K15" s="12">
        <v>2.339</v>
      </c>
      <c r="L15" s="14"/>
      <c r="M15" s="14"/>
      <c r="O15" s="15"/>
      <c r="P15" s="15"/>
      <c r="Q15" s="13">
        <v>14</v>
      </c>
      <c r="R15" s="12">
        <v>0.45700000000000002</v>
      </c>
      <c r="S15" s="14"/>
      <c r="T15" s="14"/>
    </row>
    <row r="16" spans="1:20" ht="15" customHeight="1" x14ac:dyDescent="0.3">
      <c r="A16" s="15"/>
      <c r="B16" s="15"/>
      <c r="C16" s="13">
        <v>15</v>
      </c>
      <c r="D16" s="12">
        <v>2.891</v>
      </c>
      <c r="E16" s="14"/>
      <c r="F16" s="14"/>
      <c r="H16" s="15"/>
      <c r="I16" s="15"/>
      <c r="J16" s="13">
        <v>15</v>
      </c>
      <c r="K16" s="12">
        <v>2.0459999999999998</v>
      </c>
      <c r="L16" s="14"/>
      <c r="M16" s="14"/>
      <c r="O16" s="15"/>
      <c r="P16" s="15"/>
      <c r="Q16" s="13">
        <v>15</v>
      </c>
      <c r="R16" s="12">
        <v>0.25900000000000001</v>
      </c>
      <c r="S16" s="14"/>
      <c r="T16" s="14"/>
    </row>
    <row r="18" spans="1:20" ht="15" customHeight="1" x14ac:dyDescent="0.3">
      <c r="A18" s="11" t="s">
        <v>62</v>
      </c>
      <c r="B18" s="11" t="s">
        <v>63</v>
      </c>
      <c r="C18" s="11" t="s">
        <v>64</v>
      </c>
      <c r="D18" s="11" t="s">
        <v>65</v>
      </c>
      <c r="E18" s="11" t="s">
        <v>66</v>
      </c>
      <c r="F18" s="11" t="s">
        <v>67</v>
      </c>
      <c r="H18" s="11" t="s">
        <v>62</v>
      </c>
      <c r="I18" s="11" t="s">
        <v>63</v>
      </c>
      <c r="J18" s="11" t="s">
        <v>64</v>
      </c>
      <c r="K18" s="11" t="s">
        <v>65</v>
      </c>
      <c r="L18" s="11" t="s">
        <v>66</v>
      </c>
      <c r="M18" s="11" t="s">
        <v>67</v>
      </c>
      <c r="O18" s="11" t="s">
        <v>62</v>
      </c>
      <c r="P18" s="11" t="s">
        <v>63</v>
      </c>
      <c r="Q18" s="11" t="s">
        <v>64</v>
      </c>
      <c r="R18" s="11" t="s">
        <v>65</v>
      </c>
      <c r="S18" s="11" t="s">
        <v>66</v>
      </c>
      <c r="T18" s="11" t="s">
        <v>67</v>
      </c>
    </row>
    <row r="19" spans="1:20" ht="15" customHeight="1" x14ac:dyDescent="0.3">
      <c r="A19" s="15">
        <v>3.8</v>
      </c>
      <c r="B19" s="15">
        <v>3.2</v>
      </c>
      <c r="C19" s="13">
        <v>1</v>
      </c>
      <c r="D19" s="12">
        <v>1.3160000000000001</v>
      </c>
      <c r="E19" s="14">
        <f>AVERAGE(D19:D33)</f>
        <v>1.0635333333333334</v>
      </c>
      <c r="F19" s="14">
        <f>_xlfn.VAR.S(D19:D33)</f>
        <v>9.2014838095238111E-2</v>
      </c>
      <c r="H19" s="15">
        <v>5.4</v>
      </c>
      <c r="I19" s="15">
        <v>2.8</v>
      </c>
      <c r="J19" s="13">
        <v>1</v>
      </c>
      <c r="K19" s="12">
        <v>4.0000000000000001E-3</v>
      </c>
      <c r="L19" s="14">
        <f>AVERAGE(K19:K33)</f>
        <v>7.0466666666666664E-2</v>
      </c>
      <c r="M19" s="14">
        <f>_xlfn.VAR.S(K19:K33)</f>
        <v>8.465980952380955E-3</v>
      </c>
      <c r="O19" s="15">
        <v>5</v>
      </c>
      <c r="P19" s="15">
        <v>1.2</v>
      </c>
      <c r="Q19" s="13">
        <v>1</v>
      </c>
      <c r="R19" s="12">
        <v>0.1</v>
      </c>
      <c r="S19" s="14">
        <f>AVERAGE(R19:R33)</f>
        <v>0.25080000000000002</v>
      </c>
      <c r="T19" s="14">
        <f>_xlfn.VAR.S(R19:R33)</f>
        <v>5.3983314285714283E-2</v>
      </c>
    </row>
    <row r="20" spans="1:20" ht="15" customHeight="1" x14ac:dyDescent="0.3">
      <c r="A20" s="15"/>
      <c r="B20" s="15"/>
      <c r="C20" s="13">
        <v>2</v>
      </c>
      <c r="D20" s="12">
        <v>1.31</v>
      </c>
      <c r="E20" s="14"/>
      <c r="F20" s="14"/>
      <c r="H20" s="15"/>
      <c r="I20" s="15"/>
      <c r="J20" s="13">
        <v>2</v>
      </c>
      <c r="K20" s="12">
        <v>0</v>
      </c>
      <c r="L20" s="14"/>
      <c r="M20" s="14"/>
      <c r="O20" s="15"/>
      <c r="P20" s="15"/>
      <c r="Q20" s="13">
        <v>2</v>
      </c>
      <c r="R20" s="12">
        <v>0.108</v>
      </c>
      <c r="S20" s="14"/>
      <c r="T20" s="14"/>
    </row>
    <row r="21" spans="1:20" ht="15" customHeight="1" x14ac:dyDescent="0.3">
      <c r="A21" s="15"/>
      <c r="B21" s="15"/>
      <c r="C21" s="13">
        <v>3</v>
      </c>
      <c r="D21" s="12">
        <v>1.0349999999999999</v>
      </c>
      <c r="E21" s="14"/>
      <c r="F21" s="14"/>
      <c r="H21" s="15"/>
      <c r="I21" s="15"/>
      <c r="J21" s="13">
        <v>3</v>
      </c>
      <c r="K21" s="12">
        <v>0.1</v>
      </c>
      <c r="L21" s="14"/>
      <c r="M21" s="14"/>
      <c r="O21" s="15"/>
      <c r="P21" s="15"/>
      <c r="Q21" s="13">
        <v>3</v>
      </c>
      <c r="R21" s="12">
        <v>6.4000000000000001E-2</v>
      </c>
      <c r="S21" s="14"/>
      <c r="T21" s="14"/>
    </row>
    <row r="22" spans="1:20" ht="15" customHeight="1" x14ac:dyDescent="0.3">
      <c r="A22" s="15"/>
      <c r="B22" s="15"/>
      <c r="C22" s="13">
        <v>4</v>
      </c>
      <c r="D22" s="12">
        <v>1.4139999999999999</v>
      </c>
      <c r="E22" s="14"/>
      <c r="F22" s="14"/>
      <c r="H22" s="15"/>
      <c r="I22" s="15"/>
      <c r="J22" s="13">
        <v>4</v>
      </c>
      <c r="K22" s="12">
        <v>0</v>
      </c>
      <c r="L22" s="14"/>
      <c r="M22" s="14"/>
      <c r="O22" s="15"/>
      <c r="P22" s="15"/>
      <c r="Q22" s="13">
        <v>4</v>
      </c>
      <c r="R22" s="12">
        <v>0.08</v>
      </c>
      <c r="S22" s="14"/>
      <c r="T22" s="14"/>
    </row>
    <row r="23" spans="1:20" ht="15" customHeight="1" x14ac:dyDescent="0.3">
      <c r="A23" s="15"/>
      <c r="B23" s="15"/>
      <c r="C23" s="13">
        <v>5</v>
      </c>
      <c r="D23" s="12">
        <v>1.411</v>
      </c>
      <c r="E23" s="14"/>
      <c r="F23" s="14"/>
      <c r="H23" s="15"/>
      <c r="I23" s="15"/>
      <c r="J23" s="13">
        <v>5</v>
      </c>
      <c r="K23" s="12">
        <v>0</v>
      </c>
      <c r="L23" s="14"/>
      <c r="M23" s="14"/>
      <c r="O23" s="15"/>
      <c r="P23" s="15"/>
      <c r="Q23" s="13">
        <v>5</v>
      </c>
      <c r="R23" s="12">
        <v>0.23200000000000001</v>
      </c>
      <c r="S23" s="14"/>
      <c r="T23" s="14"/>
    </row>
    <row r="24" spans="1:20" ht="15" customHeight="1" x14ac:dyDescent="0.3">
      <c r="A24" s="15"/>
      <c r="B24" s="15"/>
      <c r="C24" s="13">
        <v>6</v>
      </c>
      <c r="D24" s="12">
        <v>0.9</v>
      </c>
      <c r="E24" s="14"/>
      <c r="F24" s="14"/>
      <c r="H24" s="15"/>
      <c r="I24" s="15"/>
      <c r="J24" s="13">
        <v>6</v>
      </c>
      <c r="K24" s="12">
        <v>1.6E-2</v>
      </c>
      <c r="L24" s="14"/>
      <c r="M24" s="14"/>
      <c r="O24" s="15"/>
      <c r="P24" s="15"/>
      <c r="Q24" s="13">
        <v>6</v>
      </c>
      <c r="R24" s="12">
        <v>7.2999999999999995E-2</v>
      </c>
      <c r="S24" s="14"/>
      <c r="T24" s="14"/>
    </row>
    <row r="25" spans="1:20" ht="15" customHeight="1" x14ac:dyDescent="0.3">
      <c r="A25" s="15"/>
      <c r="B25" s="15"/>
      <c r="C25" s="13">
        <v>7</v>
      </c>
      <c r="D25" s="12">
        <v>0.54100000000000004</v>
      </c>
      <c r="E25" s="14"/>
      <c r="F25" s="14"/>
      <c r="H25" s="15"/>
      <c r="I25" s="15"/>
      <c r="J25" s="13">
        <v>7</v>
      </c>
      <c r="K25" s="12">
        <v>2.1000000000000001E-2</v>
      </c>
      <c r="L25" s="14"/>
      <c r="M25" s="14"/>
      <c r="O25" s="15"/>
      <c r="P25" s="15"/>
      <c r="Q25" s="13">
        <v>7</v>
      </c>
      <c r="R25" s="12">
        <v>0</v>
      </c>
      <c r="S25" s="14"/>
      <c r="T25" s="14"/>
    </row>
    <row r="26" spans="1:20" ht="15" customHeight="1" x14ac:dyDescent="0.3">
      <c r="A26" s="15"/>
      <c r="B26" s="15"/>
      <c r="C26" s="13">
        <v>8</v>
      </c>
      <c r="D26" s="12">
        <v>1.1639999999999999</v>
      </c>
      <c r="E26" s="14"/>
      <c r="F26" s="14"/>
      <c r="H26" s="15"/>
      <c r="I26" s="15"/>
      <c r="J26" s="13">
        <v>8</v>
      </c>
      <c r="K26" s="12">
        <v>0.317</v>
      </c>
      <c r="L26" s="14"/>
      <c r="M26" s="14"/>
      <c r="O26" s="15"/>
      <c r="P26" s="15"/>
      <c r="Q26" s="13">
        <v>8</v>
      </c>
      <c r="R26" s="12">
        <v>8.5999999999999993E-2</v>
      </c>
      <c r="S26" s="14"/>
      <c r="T26" s="14"/>
    </row>
    <row r="27" spans="1:20" ht="15" customHeight="1" x14ac:dyDescent="0.3">
      <c r="A27" s="15"/>
      <c r="B27" s="15"/>
      <c r="C27" s="13">
        <v>9</v>
      </c>
      <c r="D27" s="12">
        <v>0.9</v>
      </c>
      <c r="E27" s="14"/>
      <c r="F27" s="14"/>
      <c r="H27" s="15"/>
      <c r="I27" s="15"/>
      <c r="J27" s="13">
        <v>9</v>
      </c>
      <c r="K27" s="12">
        <v>0.1</v>
      </c>
      <c r="L27" s="14"/>
      <c r="M27" s="14"/>
      <c r="O27" s="15"/>
      <c r="P27" s="15"/>
      <c r="Q27" s="13">
        <v>9</v>
      </c>
      <c r="R27" s="12">
        <v>0.49199999999999999</v>
      </c>
      <c r="S27" s="14"/>
      <c r="T27" s="14"/>
    </row>
    <row r="28" spans="1:20" ht="15" customHeight="1" x14ac:dyDescent="0.3">
      <c r="A28" s="15"/>
      <c r="B28" s="15"/>
      <c r="C28" s="13">
        <v>10</v>
      </c>
      <c r="D28" s="12">
        <v>1.2569999999999999</v>
      </c>
      <c r="E28" s="14"/>
      <c r="F28" s="14"/>
      <c r="H28" s="15"/>
      <c r="I28" s="15"/>
      <c r="J28" s="13">
        <v>10</v>
      </c>
      <c r="K28" s="12">
        <v>0.14000000000000001</v>
      </c>
      <c r="L28" s="14"/>
      <c r="M28" s="14"/>
      <c r="O28" s="15"/>
      <c r="P28" s="15"/>
      <c r="Q28" s="13">
        <v>10</v>
      </c>
      <c r="R28" s="12">
        <v>0.67200000000000004</v>
      </c>
      <c r="S28" s="14"/>
      <c r="T28" s="14"/>
    </row>
    <row r="29" spans="1:20" ht="15" customHeight="1" x14ac:dyDescent="0.3">
      <c r="A29" s="15"/>
      <c r="B29" s="15"/>
      <c r="C29" s="13">
        <v>11</v>
      </c>
      <c r="D29" s="12">
        <v>1.103</v>
      </c>
      <c r="E29" s="14"/>
      <c r="F29" s="14"/>
      <c r="H29" s="15"/>
      <c r="I29" s="15"/>
      <c r="J29" s="13">
        <v>11</v>
      </c>
      <c r="K29" s="12">
        <v>8.5000000000000006E-2</v>
      </c>
      <c r="L29" s="14"/>
      <c r="M29" s="14"/>
      <c r="O29" s="15"/>
      <c r="P29" s="15"/>
      <c r="Q29" s="13">
        <v>11</v>
      </c>
      <c r="R29" s="12">
        <v>0.54500000000000004</v>
      </c>
      <c r="S29" s="14"/>
      <c r="T29" s="14"/>
    </row>
    <row r="30" spans="1:20" ht="15" customHeight="1" x14ac:dyDescent="0.3">
      <c r="A30" s="15"/>
      <c r="B30" s="15"/>
      <c r="C30" s="13">
        <v>12</v>
      </c>
      <c r="D30" s="12">
        <v>1.4279999999999999</v>
      </c>
      <c r="E30" s="14"/>
      <c r="F30" s="14"/>
      <c r="H30" s="15"/>
      <c r="I30" s="15"/>
      <c r="J30" s="13">
        <v>12</v>
      </c>
      <c r="K30" s="12">
        <v>7.5999999999999998E-2</v>
      </c>
      <c r="L30" s="14"/>
      <c r="M30" s="14"/>
      <c r="O30" s="15"/>
      <c r="P30" s="15"/>
      <c r="Q30" s="13">
        <v>12</v>
      </c>
      <c r="R30" s="12">
        <v>0.54200000000000004</v>
      </c>
      <c r="S30" s="14"/>
      <c r="T30" s="14"/>
    </row>
    <row r="31" spans="1:20" ht="15" customHeight="1" x14ac:dyDescent="0.3">
      <c r="A31" s="15"/>
      <c r="B31" s="15"/>
      <c r="C31" s="13">
        <v>13</v>
      </c>
      <c r="D31" s="12">
        <v>0.92900000000000005</v>
      </c>
      <c r="E31" s="14"/>
      <c r="F31" s="14"/>
      <c r="H31" s="15"/>
      <c r="I31" s="15"/>
      <c r="J31" s="13">
        <v>13</v>
      </c>
      <c r="K31" s="12">
        <v>0</v>
      </c>
      <c r="L31" s="14"/>
      <c r="M31" s="14"/>
      <c r="O31" s="15"/>
      <c r="P31" s="15"/>
      <c r="Q31" s="13">
        <v>13</v>
      </c>
      <c r="R31" s="12">
        <v>0.48699999999999999</v>
      </c>
      <c r="S31" s="14"/>
      <c r="T31" s="14"/>
    </row>
    <row r="32" spans="1:20" ht="15" customHeight="1" x14ac:dyDescent="0.3">
      <c r="A32" s="15"/>
      <c r="B32" s="15"/>
      <c r="C32" s="13">
        <v>14</v>
      </c>
      <c r="D32" s="12">
        <v>0.66600000000000004</v>
      </c>
      <c r="E32" s="14"/>
      <c r="F32" s="14"/>
      <c r="H32" s="15"/>
      <c r="I32" s="15"/>
      <c r="J32" s="13">
        <v>14</v>
      </c>
      <c r="K32" s="12">
        <v>0</v>
      </c>
      <c r="L32" s="14"/>
      <c r="M32" s="14"/>
      <c r="O32" s="15"/>
      <c r="P32" s="15"/>
      <c r="Q32" s="13">
        <v>14</v>
      </c>
      <c r="R32" s="12">
        <v>0</v>
      </c>
      <c r="S32" s="14"/>
      <c r="T32" s="14"/>
    </row>
    <row r="33" spans="1:20" ht="15" customHeight="1" x14ac:dyDescent="0.3">
      <c r="A33" s="15"/>
      <c r="B33" s="15"/>
      <c r="C33" s="13">
        <v>15</v>
      </c>
      <c r="D33" s="12">
        <v>0.57899999999999996</v>
      </c>
      <c r="E33" s="14"/>
      <c r="F33" s="14"/>
      <c r="H33" s="15"/>
      <c r="I33" s="15"/>
      <c r="J33" s="13">
        <v>15</v>
      </c>
      <c r="K33" s="12">
        <v>0.19800000000000001</v>
      </c>
      <c r="L33" s="14"/>
      <c r="M33" s="14"/>
      <c r="O33" s="15"/>
      <c r="P33" s="15"/>
      <c r="Q33" s="13">
        <v>15</v>
      </c>
      <c r="R33" s="12">
        <v>0.28100000000000003</v>
      </c>
      <c r="S33" s="14"/>
      <c r="T33" s="14"/>
    </row>
  </sheetData>
  <mergeCells count="24">
    <mergeCell ref="T19:T33"/>
    <mergeCell ref="A19:A33"/>
    <mergeCell ref="B19:B33"/>
    <mergeCell ref="E19:E33"/>
    <mergeCell ref="F19:F33"/>
    <mergeCell ref="H19:H33"/>
    <mergeCell ref="I19:I33"/>
    <mergeCell ref="L19:L33"/>
    <mergeCell ref="M19:M33"/>
    <mergeCell ref="O19:O33"/>
    <mergeCell ref="P19:P33"/>
    <mergeCell ref="S19:S33"/>
    <mergeCell ref="T2:T16"/>
    <mergeCell ref="A2:A16"/>
    <mergeCell ref="B2:B16"/>
    <mergeCell ref="E2:E16"/>
    <mergeCell ref="F2:F16"/>
    <mergeCell ref="H2:H16"/>
    <mergeCell ref="I2:I16"/>
    <mergeCell ref="L2:L16"/>
    <mergeCell ref="M2:M16"/>
    <mergeCell ref="O2:O16"/>
    <mergeCell ref="P2:P16"/>
    <mergeCell ref="S2:S16"/>
  </mergeCells>
  <phoneticPr fontId="1" type="noConversion"/>
  <conditionalFormatting sqref="D2:D16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D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1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B71E3-DBB2-4DED-B944-6DD1C27588A6}">
  <dimension ref="A1:T35"/>
  <sheetViews>
    <sheetView zoomScale="85" zoomScaleNormal="85" workbookViewId="0">
      <selection sqref="A1:XFD1048576"/>
    </sheetView>
  </sheetViews>
  <sheetFormatPr defaultColWidth="10.75" defaultRowHeight="15" customHeight="1" x14ac:dyDescent="0.3"/>
  <cols>
    <col min="1" max="16384" width="10.75" style="10"/>
  </cols>
  <sheetData>
    <row r="1" spans="1:20" ht="15" customHeight="1" x14ac:dyDescent="0.3">
      <c r="A1" s="11" t="s">
        <v>62</v>
      </c>
      <c r="B1" s="11" t="s">
        <v>63</v>
      </c>
      <c r="C1" s="11" t="s">
        <v>64</v>
      </c>
      <c r="D1" s="11" t="s">
        <v>65</v>
      </c>
      <c r="E1" s="11" t="s">
        <v>66</v>
      </c>
      <c r="F1" s="11" t="s">
        <v>67</v>
      </c>
      <c r="H1" s="11" t="s">
        <v>62</v>
      </c>
      <c r="I1" s="11" t="s">
        <v>63</v>
      </c>
      <c r="J1" s="11" t="s">
        <v>64</v>
      </c>
      <c r="K1" s="11" t="s">
        <v>65</v>
      </c>
      <c r="L1" s="11" t="s">
        <v>66</v>
      </c>
      <c r="M1" s="11" t="s">
        <v>67</v>
      </c>
      <c r="O1" s="11" t="s">
        <v>62</v>
      </c>
      <c r="P1" s="11" t="s">
        <v>63</v>
      </c>
      <c r="Q1" s="11" t="s">
        <v>64</v>
      </c>
      <c r="R1" s="11" t="s">
        <v>65</v>
      </c>
      <c r="S1" s="11" t="s">
        <v>66</v>
      </c>
      <c r="T1" s="11" t="s">
        <v>67</v>
      </c>
    </row>
    <row r="2" spans="1:20" ht="15" customHeight="1" x14ac:dyDescent="0.3">
      <c r="A2" s="15">
        <v>4.5999999999999996</v>
      </c>
      <c r="B2" s="15">
        <v>2.4</v>
      </c>
      <c r="C2" s="13">
        <v>1</v>
      </c>
      <c r="D2" s="12">
        <v>2.4620000000000002</v>
      </c>
      <c r="E2" s="14">
        <f>AVERAGE(D2:D16)</f>
        <v>2.3164000000000002</v>
      </c>
      <c r="F2" s="14">
        <f>_xlfn.VAR.S(D2:D16)</f>
        <v>4.9151400000000019E-2</v>
      </c>
      <c r="H2" s="15">
        <v>3.8</v>
      </c>
      <c r="I2" s="15">
        <v>2.4</v>
      </c>
      <c r="J2" s="13">
        <v>1</v>
      </c>
      <c r="K2" s="12">
        <v>1.7669999999999999</v>
      </c>
      <c r="L2" s="14">
        <f>AVERAGE(K2:K16)</f>
        <v>1.8913999999999997</v>
      </c>
      <c r="M2" s="14">
        <f>_xlfn.VAR.S(K2:K16)</f>
        <v>2.6108971428571444E-2</v>
      </c>
      <c r="O2" s="15">
        <v>4.2</v>
      </c>
      <c r="P2" s="15">
        <v>1.6</v>
      </c>
      <c r="Q2" s="13">
        <v>1</v>
      </c>
      <c r="R2" s="12">
        <v>0.193</v>
      </c>
      <c r="S2" s="14">
        <f>AVERAGE(R2:R16)</f>
        <v>0.13806666666666667</v>
      </c>
      <c r="T2" s="14">
        <f>_xlfn.VAR.S(R2:R16)</f>
        <v>1.2344209523809518E-2</v>
      </c>
    </row>
    <row r="3" spans="1:20" ht="15" customHeight="1" x14ac:dyDescent="0.3">
      <c r="A3" s="15"/>
      <c r="B3" s="15"/>
      <c r="C3" s="13">
        <v>2</v>
      </c>
      <c r="D3" s="12">
        <v>1.8759999999999999</v>
      </c>
      <c r="E3" s="14"/>
      <c r="F3" s="14"/>
      <c r="H3" s="15"/>
      <c r="I3" s="15"/>
      <c r="J3" s="13">
        <v>2</v>
      </c>
      <c r="K3" s="12">
        <v>2.2370000000000001</v>
      </c>
      <c r="L3" s="14"/>
      <c r="M3" s="14"/>
      <c r="O3" s="15"/>
      <c r="P3" s="15"/>
      <c r="Q3" s="13">
        <v>2</v>
      </c>
      <c r="R3" s="12">
        <v>0.22700000000000001</v>
      </c>
      <c r="S3" s="14"/>
      <c r="T3" s="14"/>
    </row>
    <row r="4" spans="1:20" ht="15" customHeight="1" x14ac:dyDescent="0.3">
      <c r="A4" s="15"/>
      <c r="B4" s="15"/>
      <c r="C4" s="13">
        <v>3</v>
      </c>
      <c r="D4" s="12">
        <v>2.262</v>
      </c>
      <c r="E4" s="14"/>
      <c r="F4" s="14"/>
      <c r="H4" s="15"/>
      <c r="I4" s="15"/>
      <c r="J4" s="13">
        <v>3</v>
      </c>
      <c r="K4" s="12">
        <v>2.0630000000000002</v>
      </c>
      <c r="L4" s="14"/>
      <c r="M4" s="14"/>
      <c r="O4" s="15"/>
      <c r="P4" s="15"/>
      <c r="Q4" s="13">
        <v>3</v>
      </c>
      <c r="R4" s="12">
        <v>0.2</v>
      </c>
      <c r="S4" s="14"/>
      <c r="T4" s="14"/>
    </row>
    <row r="5" spans="1:20" ht="15" customHeight="1" x14ac:dyDescent="0.3">
      <c r="A5" s="15"/>
      <c r="B5" s="15"/>
      <c r="C5" s="13">
        <v>4</v>
      </c>
      <c r="D5" s="12">
        <v>2.2290000000000001</v>
      </c>
      <c r="E5" s="14"/>
      <c r="F5" s="14"/>
      <c r="H5" s="15"/>
      <c r="I5" s="15"/>
      <c r="J5" s="13">
        <v>4</v>
      </c>
      <c r="K5" s="12">
        <v>1.8759999999999999</v>
      </c>
      <c r="L5" s="14"/>
      <c r="M5" s="14"/>
      <c r="O5" s="15"/>
      <c r="P5" s="15"/>
      <c r="Q5" s="13">
        <v>4</v>
      </c>
      <c r="R5" s="12">
        <v>6.5000000000000002E-2</v>
      </c>
      <c r="S5" s="14"/>
      <c r="T5" s="14"/>
    </row>
    <row r="6" spans="1:20" ht="15" customHeight="1" x14ac:dyDescent="0.3">
      <c r="A6" s="15"/>
      <c r="B6" s="15"/>
      <c r="C6" s="13">
        <v>5</v>
      </c>
      <c r="D6" s="12">
        <v>2.0760000000000001</v>
      </c>
      <c r="E6" s="14"/>
      <c r="F6" s="14"/>
      <c r="H6" s="15"/>
      <c r="I6" s="15"/>
      <c r="J6" s="13">
        <v>5</v>
      </c>
      <c r="K6" s="12">
        <v>1.9770000000000001</v>
      </c>
      <c r="L6" s="14"/>
      <c r="M6" s="14"/>
      <c r="O6" s="15"/>
      <c r="P6" s="15"/>
      <c r="Q6" s="13">
        <v>5</v>
      </c>
      <c r="R6" s="12">
        <v>0</v>
      </c>
      <c r="S6" s="14"/>
      <c r="T6" s="14"/>
    </row>
    <row r="7" spans="1:20" ht="15" customHeight="1" x14ac:dyDescent="0.3">
      <c r="A7" s="15"/>
      <c r="B7" s="15"/>
      <c r="C7" s="13">
        <v>6</v>
      </c>
      <c r="D7" s="12">
        <v>2.5259999999999998</v>
      </c>
      <c r="E7" s="14"/>
      <c r="F7" s="14"/>
      <c r="H7" s="15"/>
      <c r="I7" s="15"/>
      <c r="J7" s="13">
        <v>6</v>
      </c>
      <c r="K7" s="12">
        <v>2.173</v>
      </c>
      <c r="L7" s="14"/>
      <c r="M7" s="14"/>
      <c r="O7" s="15"/>
      <c r="P7" s="15"/>
      <c r="Q7" s="13">
        <v>6</v>
      </c>
      <c r="R7" s="12">
        <v>0.114</v>
      </c>
      <c r="S7" s="14"/>
      <c r="T7" s="14"/>
    </row>
    <row r="8" spans="1:20" ht="15" customHeight="1" x14ac:dyDescent="0.3">
      <c r="A8" s="15"/>
      <c r="B8" s="15"/>
      <c r="C8" s="13">
        <v>7</v>
      </c>
      <c r="D8" s="12">
        <v>2.1869999999999998</v>
      </c>
      <c r="E8" s="14"/>
      <c r="F8" s="14"/>
      <c r="H8" s="15"/>
      <c r="I8" s="15"/>
      <c r="J8" s="13">
        <v>7</v>
      </c>
      <c r="K8" s="12">
        <v>1.871</v>
      </c>
      <c r="L8" s="14"/>
      <c r="M8" s="14"/>
      <c r="O8" s="15"/>
      <c r="P8" s="15"/>
      <c r="Q8" s="13">
        <v>7</v>
      </c>
      <c r="R8" s="12">
        <v>9.2999999999999999E-2</v>
      </c>
      <c r="S8" s="14"/>
      <c r="T8" s="14"/>
    </row>
    <row r="9" spans="1:20" ht="15" customHeight="1" x14ac:dyDescent="0.3">
      <c r="A9" s="15"/>
      <c r="B9" s="15"/>
      <c r="C9" s="13">
        <v>8</v>
      </c>
      <c r="D9" s="12">
        <v>2.3849999999999998</v>
      </c>
      <c r="E9" s="14"/>
      <c r="F9" s="14"/>
      <c r="H9" s="15"/>
      <c r="I9" s="15"/>
      <c r="J9" s="13">
        <v>8</v>
      </c>
      <c r="K9" s="12">
        <v>1.7889999999999999</v>
      </c>
      <c r="L9" s="14"/>
      <c r="M9" s="14"/>
      <c r="O9" s="15"/>
      <c r="P9" s="15"/>
      <c r="Q9" s="13">
        <v>8</v>
      </c>
      <c r="R9" s="12">
        <v>0.25600000000000001</v>
      </c>
      <c r="S9" s="14"/>
      <c r="T9" s="14"/>
    </row>
    <row r="10" spans="1:20" ht="15" customHeight="1" x14ac:dyDescent="0.3">
      <c r="A10" s="15"/>
      <c r="B10" s="15"/>
      <c r="C10" s="13">
        <v>9</v>
      </c>
      <c r="D10" s="12">
        <v>2.5760000000000001</v>
      </c>
      <c r="E10" s="14"/>
      <c r="F10" s="14"/>
      <c r="H10" s="15"/>
      <c r="I10" s="15"/>
      <c r="J10" s="13">
        <v>9</v>
      </c>
      <c r="K10" s="12">
        <v>1.8680000000000001</v>
      </c>
      <c r="L10" s="14"/>
      <c r="M10" s="14"/>
      <c r="O10" s="15"/>
      <c r="P10" s="15"/>
      <c r="Q10" s="13">
        <v>9</v>
      </c>
      <c r="R10" s="12">
        <v>0.36</v>
      </c>
      <c r="S10" s="14"/>
      <c r="T10" s="14"/>
    </row>
    <row r="11" spans="1:20" ht="15" customHeight="1" x14ac:dyDescent="0.3">
      <c r="A11" s="15"/>
      <c r="B11" s="15"/>
      <c r="C11" s="13">
        <v>10</v>
      </c>
      <c r="D11" s="12">
        <v>2.2160000000000002</v>
      </c>
      <c r="E11" s="14"/>
      <c r="F11" s="14"/>
      <c r="H11" s="15"/>
      <c r="I11" s="15"/>
      <c r="J11" s="13">
        <v>10</v>
      </c>
      <c r="K11" s="12">
        <v>1.6120000000000001</v>
      </c>
      <c r="L11" s="14"/>
      <c r="M11" s="14"/>
      <c r="O11" s="15"/>
      <c r="P11" s="15"/>
      <c r="Q11" s="13">
        <v>10</v>
      </c>
      <c r="R11" s="12">
        <v>0.26100000000000001</v>
      </c>
      <c r="S11" s="14"/>
      <c r="T11" s="14"/>
    </row>
    <row r="12" spans="1:20" ht="15" customHeight="1" x14ac:dyDescent="0.3">
      <c r="A12" s="15"/>
      <c r="B12" s="15"/>
      <c r="C12" s="13">
        <v>11</v>
      </c>
      <c r="D12" s="12">
        <v>2.5640000000000001</v>
      </c>
      <c r="E12" s="14"/>
      <c r="F12" s="14"/>
      <c r="H12" s="15"/>
      <c r="I12" s="15"/>
      <c r="J12" s="13">
        <v>11</v>
      </c>
      <c r="K12" s="12">
        <v>1.851</v>
      </c>
      <c r="L12" s="14"/>
      <c r="M12" s="14"/>
      <c r="O12" s="15"/>
      <c r="P12" s="15"/>
      <c r="Q12" s="13">
        <v>11</v>
      </c>
      <c r="R12" s="12">
        <v>0.16900000000000001</v>
      </c>
      <c r="S12" s="14"/>
      <c r="T12" s="14"/>
    </row>
    <row r="13" spans="1:20" ht="15" customHeight="1" x14ac:dyDescent="0.3">
      <c r="A13" s="15"/>
      <c r="B13" s="15"/>
      <c r="C13" s="13">
        <v>12</v>
      </c>
      <c r="D13" s="12">
        <v>2.3679999999999999</v>
      </c>
      <c r="E13" s="14"/>
      <c r="F13" s="14"/>
      <c r="H13" s="15"/>
      <c r="I13" s="15"/>
      <c r="J13" s="13">
        <v>12</v>
      </c>
      <c r="K13" s="12">
        <v>1.8169999999999999</v>
      </c>
      <c r="L13" s="14"/>
      <c r="M13" s="14"/>
      <c r="O13" s="15"/>
      <c r="P13" s="15"/>
      <c r="Q13" s="13">
        <v>12</v>
      </c>
      <c r="R13" s="12">
        <v>0</v>
      </c>
      <c r="S13" s="14"/>
      <c r="T13" s="14"/>
    </row>
    <row r="14" spans="1:20" ht="15" customHeight="1" x14ac:dyDescent="0.3">
      <c r="A14" s="15"/>
      <c r="B14" s="15"/>
      <c r="C14" s="13">
        <v>13</v>
      </c>
      <c r="D14" s="12">
        <v>2.411</v>
      </c>
      <c r="E14" s="14"/>
      <c r="F14" s="14"/>
      <c r="H14" s="15"/>
      <c r="I14" s="15"/>
      <c r="J14" s="13">
        <v>13</v>
      </c>
      <c r="K14" s="12">
        <v>1.7869999999999999</v>
      </c>
      <c r="L14" s="14"/>
      <c r="M14" s="14"/>
      <c r="O14" s="15"/>
      <c r="P14" s="15"/>
      <c r="Q14" s="13">
        <v>13</v>
      </c>
      <c r="R14" s="12">
        <v>2.5000000000000001E-2</v>
      </c>
      <c r="S14" s="14"/>
      <c r="T14" s="14"/>
    </row>
    <row r="15" spans="1:20" ht="15" customHeight="1" x14ac:dyDescent="0.3">
      <c r="A15" s="15"/>
      <c r="B15" s="15"/>
      <c r="C15" s="13">
        <v>14</v>
      </c>
      <c r="D15" s="12">
        <v>2.6110000000000002</v>
      </c>
      <c r="E15" s="14"/>
      <c r="F15" s="14"/>
      <c r="H15" s="15"/>
      <c r="I15" s="15"/>
      <c r="J15" s="13">
        <v>14</v>
      </c>
      <c r="K15" s="12">
        <v>1.8120000000000001</v>
      </c>
      <c r="L15" s="14"/>
      <c r="M15" s="14"/>
      <c r="O15" s="15"/>
      <c r="P15" s="15"/>
      <c r="Q15" s="13">
        <v>14</v>
      </c>
      <c r="R15" s="12">
        <v>0.108</v>
      </c>
      <c r="S15" s="14"/>
      <c r="T15" s="14"/>
    </row>
    <row r="16" spans="1:20" ht="15" customHeight="1" x14ac:dyDescent="0.3">
      <c r="A16" s="15"/>
      <c r="B16" s="15"/>
      <c r="C16" s="13">
        <v>15</v>
      </c>
      <c r="D16" s="12">
        <v>1.9970000000000001</v>
      </c>
      <c r="E16" s="14"/>
      <c r="F16" s="14"/>
      <c r="H16" s="15"/>
      <c r="I16" s="15"/>
      <c r="J16" s="13">
        <v>15</v>
      </c>
      <c r="K16" s="12">
        <v>1.871</v>
      </c>
      <c r="L16" s="14"/>
      <c r="M16" s="14"/>
      <c r="O16" s="15"/>
      <c r="P16" s="15"/>
      <c r="Q16" s="13">
        <v>15</v>
      </c>
      <c r="R16" s="12">
        <v>0</v>
      </c>
      <c r="S16" s="14"/>
      <c r="T16" s="14"/>
    </row>
    <row r="18" spans="1:20" ht="15" customHeight="1" x14ac:dyDescent="0.3">
      <c r="A18" s="11" t="s">
        <v>62</v>
      </c>
      <c r="B18" s="11" t="s">
        <v>63</v>
      </c>
      <c r="C18" s="11" t="s">
        <v>64</v>
      </c>
      <c r="D18" s="11" t="s">
        <v>65</v>
      </c>
      <c r="E18" s="11" t="s">
        <v>66</v>
      </c>
      <c r="F18" s="11" t="s">
        <v>67</v>
      </c>
      <c r="H18" s="11" t="s">
        <v>62</v>
      </c>
      <c r="I18" s="11" t="s">
        <v>63</v>
      </c>
      <c r="J18" s="11" t="s">
        <v>64</v>
      </c>
      <c r="K18" s="11" t="s">
        <v>65</v>
      </c>
      <c r="L18" s="11" t="s">
        <v>66</v>
      </c>
      <c r="M18" s="11" t="s">
        <v>67</v>
      </c>
      <c r="O18" s="11" t="s">
        <v>62</v>
      </c>
      <c r="P18" s="11" t="s">
        <v>63</v>
      </c>
      <c r="Q18" s="11" t="s">
        <v>64</v>
      </c>
      <c r="R18" s="11" t="s">
        <v>65</v>
      </c>
      <c r="S18" s="11" t="s">
        <v>66</v>
      </c>
      <c r="T18" s="11" t="s">
        <v>67</v>
      </c>
    </row>
    <row r="19" spans="1:20" ht="15" customHeight="1" x14ac:dyDescent="0.3">
      <c r="A19" s="15">
        <v>3.8</v>
      </c>
      <c r="B19" s="15">
        <v>3.2</v>
      </c>
      <c r="C19" s="13">
        <v>1</v>
      </c>
      <c r="D19" s="12">
        <v>0.56899999999999995</v>
      </c>
      <c r="E19" s="14">
        <f>AVERAGE(D19:D33)</f>
        <v>0.68900000000000006</v>
      </c>
      <c r="F19" s="14">
        <f>_xlfn.VAR.S(D19:D33)</f>
        <v>5.3030428571428513E-2</v>
      </c>
      <c r="H19" s="15">
        <v>5.4</v>
      </c>
      <c r="I19" s="15">
        <v>2.8</v>
      </c>
      <c r="J19" s="13">
        <v>1</v>
      </c>
      <c r="K19" s="12">
        <v>3.2000000000000001E-2</v>
      </c>
      <c r="L19" s="14">
        <f>AVERAGE(K19:K33)</f>
        <v>7.0733333333333329E-2</v>
      </c>
      <c r="M19" s="14">
        <f>_xlfn.VAR.S(K19:K33)</f>
        <v>1.3407209523809522E-2</v>
      </c>
      <c r="O19" s="15">
        <v>5</v>
      </c>
      <c r="P19" s="15">
        <v>1.2</v>
      </c>
      <c r="Q19" s="13">
        <v>1</v>
      </c>
      <c r="R19" s="12">
        <v>0.17100000000000001</v>
      </c>
      <c r="S19" s="14">
        <f>AVERAGE(R19:R33)</f>
        <v>5.7133333333333342E-2</v>
      </c>
      <c r="T19" s="14">
        <f>_xlfn.VAR.S(R19:R33)</f>
        <v>4.3919809523809521E-3</v>
      </c>
    </row>
    <row r="20" spans="1:20" ht="15" customHeight="1" x14ac:dyDescent="0.3">
      <c r="A20" s="15"/>
      <c r="B20" s="15"/>
      <c r="C20" s="13">
        <v>2</v>
      </c>
      <c r="D20" s="12">
        <v>0.54700000000000004</v>
      </c>
      <c r="E20" s="14"/>
      <c r="F20" s="14"/>
      <c r="H20" s="15"/>
      <c r="I20" s="15"/>
      <c r="J20" s="13">
        <v>2</v>
      </c>
      <c r="K20" s="12">
        <v>3.4000000000000002E-2</v>
      </c>
      <c r="L20" s="14"/>
      <c r="M20" s="14"/>
      <c r="O20" s="15"/>
      <c r="P20" s="15"/>
      <c r="Q20" s="13">
        <v>2</v>
      </c>
      <c r="R20" s="12">
        <v>0.14099999999999999</v>
      </c>
      <c r="S20" s="14"/>
      <c r="T20" s="14"/>
    </row>
    <row r="21" spans="1:20" ht="15" customHeight="1" x14ac:dyDescent="0.3">
      <c r="A21" s="15"/>
      <c r="B21" s="15"/>
      <c r="C21" s="13">
        <v>3</v>
      </c>
      <c r="D21" s="12">
        <v>0.67700000000000005</v>
      </c>
      <c r="E21" s="14"/>
      <c r="F21" s="14"/>
      <c r="H21" s="15"/>
      <c r="I21" s="15"/>
      <c r="J21" s="13">
        <v>3</v>
      </c>
      <c r="K21" s="12">
        <v>0</v>
      </c>
      <c r="L21" s="14"/>
      <c r="M21" s="14"/>
      <c r="O21" s="15"/>
      <c r="P21" s="15"/>
      <c r="Q21" s="13">
        <v>3</v>
      </c>
      <c r="R21" s="12">
        <v>0</v>
      </c>
      <c r="S21" s="14"/>
      <c r="T21" s="14"/>
    </row>
    <row r="22" spans="1:20" ht="15" customHeight="1" x14ac:dyDescent="0.3">
      <c r="A22" s="15"/>
      <c r="B22" s="15"/>
      <c r="C22" s="13">
        <v>4</v>
      </c>
      <c r="D22" s="12">
        <v>0.46200000000000002</v>
      </c>
      <c r="E22" s="14"/>
      <c r="F22" s="14"/>
      <c r="H22" s="15"/>
      <c r="I22" s="15"/>
      <c r="J22" s="13">
        <v>4</v>
      </c>
      <c r="K22" s="12">
        <v>0</v>
      </c>
      <c r="L22" s="14"/>
      <c r="M22" s="14"/>
      <c r="O22" s="15"/>
      <c r="P22" s="15"/>
      <c r="Q22" s="13">
        <v>4</v>
      </c>
      <c r="R22" s="12">
        <v>0</v>
      </c>
      <c r="S22" s="14"/>
      <c r="T22" s="14"/>
    </row>
    <row r="23" spans="1:20" ht="15" customHeight="1" x14ac:dyDescent="0.3">
      <c r="A23" s="15"/>
      <c r="B23" s="15"/>
      <c r="C23" s="13">
        <v>5</v>
      </c>
      <c r="D23" s="12">
        <v>0.54500000000000004</v>
      </c>
      <c r="E23" s="14"/>
      <c r="F23" s="14"/>
      <c r="H23" s="15"/>
      <c r="I23" s="15"/>
      <c r="J23" s="13">
        <v>5</v>
      </c>
      <c r="K23" s="12">
        <v>0</v>
      </c>
      <c r="L23" s="14"/>
      <c r="M23" s="14"/>
      <c r="O23" s="15"/>
      <c r="P23" s="15"/>
      <c r="Q23" s="13">
        <v>5</v>
      </c>
      <c r="R23" s="12">
        <v>6.2E-2</v>
      </c>
      <c r="S23" s="14"/>
      <c r="T23" s="14"/>
    </row>
    <row r="24" spans="1:20" ht="15" customHeight="1" x14ac:dyDescent="0.3">
      <c r="A24" s="15"/>
      <c r="B24" s="15"/>
      <c r="C24" s="13">
        <v>6</v>
      </c>
      <c r="D24" s="12">
        <v>0.45100000000000001</v>
      </c>
      <c r="E24" s="14"/>
      <c r="F24" s="14"/>
      <c r="H24" s="15"/>
      <c r="I24" s="15"/>
      <c r="J24" s="13">
        <v>6</v>
      </c>
      <c r="K24" s="12">
        <v>0</v>
      </c>
      <c r="L24" s="14"/>
      <c r="M24" s="14"/>
      <c r="O24" s="15"/>
      <c r="P24" s="15"/>
      <c r="Q24" s="13">
        <v>6</v>
      </c>
      <c r="R24" s="12">
        <v>0.113</v>
      </c>
      <c r="S24" s="14"/>
      <c r="T24" s="14"/>
    </row>
    <row r="25" spans="1:20" ht="15" customHeight="1" x14ac:dyDescent="0.3">
      <c r="A25" s="15"/>
      <c r="B25" s="15"/>
      <c r="C25" s="13">
        <v>7</v>
      </c>
      <c r="D25" s="12">
        <v>0.41699999999999998</v>
      </c>
      <c r="E25" s="14"/>
      <c r="F25" s="14"/>
      <c r="H25" s="15"/>
      <c r="I25" s="15"/>
      <c r="J25" s="13">
        <v>7</v>
      </c>
      <c r="K25" s="12">
        <v>2.1999999999999999E-2</v>
      </c>
      <c r="L25" s="14"/>
      <c r="M25" s="14"/>
      <c r="O25" s="15"/>
      <c r="P25" s="15"/>
      <c r="Q25" s="13">
        <v>7</v>
      </c>
      <c r="R25" s="12">
        <v>0</v>
      </c>
      <c r="S25" s="14"/>
      <c r="T25" s="14"/>
    </row>
    <row r="26" spans="1:20" ht="15" customHeight="1" x14ac:dyDescent="0.3">
      <c r="A26" s="15"/>
      <c r="B26" s="15"/>
      <c r="C26" s="13">
        <v>8</v>
      </c>
      <c r="D26" s="12">
        <v>0.69499999999999995</v>
      </c>
      <c r="E26" s="14"/>
      <c r="F26" s="14"/>
      <c r="H26" s="15"/>
      <c r="I26" s="15"/>
      <c r="J26" s="13">
        <v>8</v>
      </c>
      <c r="K26" s="12">
        <v>0</v>
      </c>
      <c r="L26" s="14"/>
      <c r="M26" s="14"/>
      <c r="O26" s="15"/>
      <c r="P26" s="15"/>
      <c r="Q26" s="13">
        <v>8</v>
      </c>
      <c r="R26" s="12">
        <v>7.0000000000000001E-3</v>
      </c>
      <c r="S26" s="14"/>
      <c r="T26" s="14"/>
    </row>
    <row r="27" spans="1:20" ht="15" customHeight="1" x14ac:dyDescent="0.3">
      <c r="A27" s="15"/>
      <c r="B27" s="15"/>
      <c r="C27" s="13">
        <v>9</v>
      </c>
      <c r="D27" s="12">
        <v>0.66700000000000004</v>
      </c>
      <c r="E27" s="14"/>
      <c r="F27" s="14"/>
      <c r="H27" s="15"/>
      <c r="I27" s="15"/>
      <c r="J27" s="13">
        <v>9</v>
      </c>
      <c r="K27" s="12">
        <v>0.113</v>
      </c>
      <c r="L27" s="14"/>
      <c r="M27" s="14"/>
      <c r="O27" s="15"/>
      <c r="P27" s="15"/>
      <c r="Q27" s="13">
        <v>9</v>
      </c>
      <c r="R27" s="12">
        <v>0.17100000000000001</v>
      </c>
      <c r="S27" s="14"/>
      <c r="T27" s="14"/>
    </row>
    <row r="28" spans="1:20" ht="15" customHeight="1" x14ac:dyDescent="0.3">
      <c r="A28" s="15"/>
      <c r="B28" s="15"/>
      <c r="C28" s="13">
        <v>10</v>
      </c>
      <c r="D28" s="12">
        <v>1.0980000000000001</v>
      </c>
      <c r="E28" s="14"/>
      <c r="F28" s="14"/>
      <c r="H28" s="15"/>
      <c r="I28" s="15"/>
      <c r="J28" s="13">
        <v>10</v>
      </c>
      <c r="K28" s="12">
        <v>0.35699999999999998</v>
      </c>
      <c r="L28" s="14"/>
      <c r="M28" s="14"/>
      <c r="O28" s="15"/>
      <c r="P28" s="15"/>
      <c r="Q28" s="13">
        <v>10</v>
      </c>
      <c r="R28" s="12">
        <v>0.114</v>
      </c>
      <c r="S28" s="14"/>
      <c r="T28" s="14"/>
    </row>
    <row r="29" spans="1:20" ht="15" customHeight="1" x14ac:dyDescent="0.3">
      <c r="A29" s="15"/>
      <c r="B29" s="15"/>
      <c r="C29" s="13">
        <v>11</v>
      </c>
      <c r="D29" s="12">
        <v>1.198</v>
      </c>
      <c r="E29" s="14"/>
      <c r="F29" s="14"/>
      <c r="H29" s="15"/>
      <c r="I29" s="15"/>
      <c r="J29" s="13">
        <v>11</v>
      </c>
      <c r="K29" s="12">
        <v>0.28899999999999998</v>
      </c>
      <c r="L29" s="14"/>
      <c r="M29" s="14"/>
      <c r="O29" s="15"/>
      <c r="P29" s="15"/>
      <c r="Q29" s="13">
        <v>11</v>
      </c>
      <c r="R29" s="12">
        <v>0</v>
      </c>
      <c r="S29" s="14"/>
      <c r="T29" s="14"/>
    </row>
    <row r="30" spans="1:20" ht="15" customHeight="1" x14ac:dyDescent="0.3">
      <c r="A30" s="15"/>
      <c r="B30" s="15"/>
      <c r="C30" s="13">
        <v>12</v>
      </c>
      <c r="D30" s="12">
        <v>0.77</v>
      </c>
      <c r="E30" s="14"/>
      <c r="F30" s="14"/>
      <c r="H30" s="15"/>
      <c r="I30" s="15"/>
      <c r="J30" s="13">
        <v>12</v>
      </c>
      <c r="K30" s="12">
        <v>0.189</v>
      </c>
      <c r="L30" s="14"/>
      <c r="M30" s="14"/>
      <c r="O30" s="15"/>
      <c r="P30" s="15"/>
      <c r="Q30" s="13">
        <v>12</v>
      </c>
      <c r="R30" s="12">
        <v>0</v>
      </c>
      <c r="S30" s="14"/>
      <c r="T30" s="14"/>
    </row>
    <row r="31" spans="1:20" ht="15" customHeight="1" x14ac:dyDescent="0.3">
      <c r="A31" s="15"/>
      <c r="B31" s="15"/>
      <c r="C31" s="13">
        <v>13</v>
      </c>
      <c r="D31" s="12">
        <v>0.72599999999999998</v>
      </c>
      <c r="E31" s="14"/>
      <c r="F31" s="14"/>
      <c r="H31" s="15"/>
      <c r="I31" s="15"/>
      <c r="J31" s="13">
        <v>13</v>
      </c>
      <c r="K31" s="12">
        <v>2.5000000000000001E-2</v>
      </c>
      <c r="L31" s="14"/>
      <c r="M31" s="14"/>
      <c r="O31" s="15"/>
      <c r="P31" s="15"/>
      <c r="Q31" s="13">
        <v>13</v>
      </c>
      <c r="R31" s="12">
        <v>2.1000000000000001E-2</v>
      </c>
      <c r="S31" s="14"/>
      <c r="T31" s="14"/>
    </row>
    <row r="32" spans="1:20" ht="15" customHeight="1" x14ac:dyDescent="0.3">
      <c r="A32" s="15"/>
      <c r="B32" s="15"/>
      <c r="C32" s="13">
        <v>14</v>
      </c>
      <c r="D32" s="12">
        <v>0.58199999999999996</v>
      </c>
      <c r="E32" s="14"/>
      <c r="F32" s="14"/>
      <c r="H32" s="15"/>
      <c r="I32" s="15"/>
      <c r="J32" s="13">
        <v>14</v>
      </c>
      <c r="K32" s="12">
        <v>0</v>
      </c>
      <c r="L32" s="14"/>
      <c r="M32" s="14"/>
      <c r="O32" s="15"/>
      <c r="P32" s="15"/>
      <c r="Q32" s="13">
        <v>14</v>
      </c>
      <c r="R32" s="12">
        <v>1.4999999999999999E-2</v>
      </c>
      <c r="S32" s="14"/>
      <c r="T32" s="14"/>
    </row>
    <row r="33" spans="1:20" ht="15" customHeight="1" x14ac:dyDescent="0.3">
      <c r="A33" s="15"/>
      <c r="B33" s="15"/>
      <c r="C33" s="13">
        <v>15</v>
      </c>
      <c r="D33" s="12">
        <v>0.93100000000000005</v>
      </c>
      <c r="E33" s="14"/>
      <c r="F33" s="14"/>
      <c r="H33" s="15"/>
      <c r="I33" s="15"/>
      <c r="J33" s="13">
        <v>15</v>
      </c>
      <c r="K33" s="12">
        <v>0</v>
      </c>
      <c r="L33" s="14"/>
      <c r="M33" s="14"/>
      <c r="O33" s="15"/>
      <c r="P33" s="15"/>
      <c r="Q33" s="13">
        <v>15</v>
      </c>
      <c r="R33" s="12">
        <v>4.2000000000000003E-2</v>
      </c>
      <c r="S33" s="14"/>
      <c r="T33" s="14"/>
    </row>
    <row r="35" spans="1:20" ht="15" customHeight="1" x14ac:dyDescent="0.3">
      <c r="A35" s="11" t="s">
        <v>68</v>
      </c>
      <c r="B35" s="15" t="s">
        <v>69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</row>
  </sheetData>
  <mergeCells count="25">
    <mergeCell ref="L19:L33"/>
    <mergeCell ref="M19:M33"/>
    <mergeCell ref="B35:T35"/>
    <mergeCell ref="O19:O33"/>
    <mergeCell ref="P19:P33"/>
    <mergeCell ref="S19:S33"/>
    <mergeCell ref="T19:T33"/>
    <mergeCell ref="I19:I33"/>
    <mergeCell ref="A19:A33"/>
    <mergeCell ref="B19:B33"/>
    <mergeCell ref="E19:E33"/>
    <mergeCell ref="F19:F33"/>
    <mergeCell ref="H19:H33"/>
    <mergeCell ref="T2:T16"/>
    <mergeCell ref="A2:A16"/>
    <mergeCell ref="B2:B16"/>
    <mergeCell ref="E2:E16"/>
    <mergeCell ref="F2:F16"/>
    <mergeCell ref="H2:H16"/>
    <mergeCell ref="I2:I16"/>
    <mergeCell ref="L2:L16"/>
    <mergeCell ref="M2:M16"/>
    <mergeCell ref="O2:O16"/>
    <mergeCell ref="P2:P16"/>
    <mergeCell ref="S2:S16"/>
  </mergeCells>
  <phoneticPr fontId="1" type="noConversion"/>
  <conditionalFormatting sqref="D2:D16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D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1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0FF62-5809-4D1E-A2FF-9D2AB229E3F5}">
  <dimension ref="A1:T35"/>
  <sheetViews>
    <sheetView zoomScale="85" zoomScaleNormal="85" workbookViewId="0">
      <selection sqref="A1:XFD1048576"/>
    </sheetView>
  </sheetViews>
  <sheetFormatPr defaultColWidth="10.75" defaultRowHeight="15" customHeight="1" x14ac:dyDescent="0.3"/>
  <cols>
    <col min="1" max="16384" width="10.75" style="10"/>
  </cols>
  <sheetData>
    <row r="1" spans="1:20" ht="15" customHeight="1" x14ac:dyDescent="0.3">
      <c r="A1" s="11" t="s">
        <v>62</v>
      </c>
      <c r="B1" s="11" t="s">
        <v>63</v>
      </c>
      <c r="C1" s="11" t="s">
        <v>64</v>
      </c>
      <c r="D1" s="11" t="s">
        <v>65</v>
      </c>
      <c r="E1" s="11" t="s">
        <v>66</v>
      </c>
      <c r="F1" s="11" t="s">
        <v>67</v>
      </c>
      <c r="H1" s="11" t="s">
        <v>62</v>
      </c>
      <c r="I1" s="11" t="s">
        <v>63</v>
      </c>
      <c r="J1" s="11" t="s">
        <v>64</v>
      </c>
      <c r="K1" s="11" t="s">
        <v>65</v>
      </c>
      <c r="L1" s="11" t="s">
        <v>66</v>
      </c>
      <c r="M1" s="11" t="s">
        <v>67</v>
      </c>
      <c r="O1" s="11" t="s">
        <v>62</v>
      </c>
      <c r="P1" s="11" t="s">
        <v>63</v>
      </c>
      <c r="Q1" s="11" t="s">
        <v>64</v>
      </c>
      <c r="R1" s="11" t="s">
        <v>65</v>
      </c>
      <c r="S1" s="11" t="s">
        <v>66</v>
      </c>
      <c r="T1" s="11" t="s">
        <v>67</v>
      </c>
    </row>
    <row r="2" spans="1:20" ht="15" customHeight="1" x14ac:dyDescent="0.3">
      <c r="A2" s="15">
        <v>4.5999999999999996</v>
      </c>
      <c r="B2" s="15">
        <v>2.4</v>
      </c>
      <c r="C2" s="13">
        <v>1</v>
      </c>
      <c r="D2" s="12">
        <v>0.48699999999999999</v>
      </c>
      <c r="E2" s="14">
        <f>AVERAGE(D2:D16)</f>
        <v>0.40979999999999994</v>
      </c>
      <c r="F2" s="14">
        <f>_xlfn.VAR.S(D2:D16)</f>
        <v>3.2096028571428646E-2</v>
      </c>
      <c r="H2" s="15">
        <v>3.8</v>
      </c>
      <c r="I2" s="15">
        <v>2.4</v>
      </c>
      <c r="J2" s="13">
        <v>1</v>
      </c>
      <c r="K2" s="12">
        <v>0.32500000000000001</v>
      </c>
      <c r="L2" s="14">
        <f>AVERAGE(K2:K16)</f>
        <v>0.57526666666666659</v>
      </c>
      <c r="M2" s="14">
        <f>_xlfn.VAR.S(K2:K16)</f>
        <v>4.8279638095238199E-2</v>
      </c>
      <c r="O2" s="15">
        <v>4.2</v>
      </c>
      <c r="P2" s="15">
        <v>1.6</v>
      </c>
      <c r="Q2" s="13">
        <v>1</v>
      </c>
      <c r="R2" s="12">
        <v>0.70599999999999996</v>
      </c>
      <c r="S2" s="14">
        <f>AVERAGE(R2:R16)</f>
        <v>0.95713333333333339</v>
      </c>
      <c r="T2" s="14">
        <f>_xlfn.VAR.S(R2:R16)</f>
        <v>5.4982409523809395E-2</v>
      </c>
    </row>
    <row r="3" spans="1:20" ht="15" customHeight="1" x14ac:dyDescent="0.3">
      <c r="A3" s="15"/>
      <c r="B3" s="15"/>
      <c r="C3" s="13">
        <v>2</v>
      </c>
      <c r="D3" s="12">
        <v>0.60599999999999998</v>
      </c>
      <c r="E3" s="14"/>
      <c r="F3" s="14"/>
      <c r="H3" s="15"/>
      <c r="I3" s="15"/>
      <c r="J3" s="13">
        <v>2</v>
      </c>
      <c r="K3" s="12">
        <v>0.66700000000000004</v>
      </c>
      <c r="L3" s="14"/>
      <c r="M3" s="14"/>
      <c r="O3" s="15"/>
      <c r="P3" s="15"/>
      <c r="Q3" s="13">
        <v>2</v>
      </c>
      <c r="R3" s="12">
        <v>0.83699999999999997</v>
      </c>
      <c r="S3" s="14"/>
      <c r="T3" s="14"/>
    </row>
    <row r="4" spans="1:20" ht="15" customHeight="1" x14ac:dyDescent="0.3">
      <c r="A4" s="15"/>
      <c r="B4" s="15"/>
      <c r="C4" s="13">
        <v>3</v>
      </c>
      <c r="D4" s="12">
        <v>0.39400000000000002</v>
      </c>
      <c r="E4" s="14"/>
      <c r="F4" s="14"/>
      <c r="H4" s="15"/>
      <c r="I4" s="15"/>
      <c r="J4" s="13">
        <v>3</v>
      </c>
      <c r="K4" s="12">
        <v>0.622</v>
      </c>
      <c r="L4" s="14"/>
      <c r="M4" s="14"/>
      <c r="O4" s="15"/>
      <c r="P4" s="15"/>
      <c r="Q4" s="13">
        <v>3</v>
      </c>
      <c r="R4" s="12">
        <v>0.83599999999999997</v>
      </c>
      <c r="S4" s="14"/>
      <c r="T4" s="14"/>
    </row>
    <row r="5" spans="1:20" ht="15" customHeight="1" x14ac:dyDescent="0.3">
      <c r="A5" s="15"/>
      <c r="B5" s="15"/>
      <c r="C5" s="13">
        <v>4</v>
      </c>
      <c r="D5" s="12">
        <v>0.24399999999999999</v>
      </c>
      <c r="E5" s="14"/>
      <c r="F5" s="14"/>
      <c r="H5" s="15"/>
      <c r="I5" s="15"/>
      <c r="J5" s="13">
        <v>4</v>
      </c>
      <c r="K5" s="12">
        <v>0.66700000000000004</v>
      </c>
      <c r="L5" s="14"/>
      <c r="M5" s="14"/>
      <c r="O5" s="15"/>
      <c r="P5" s="15"/>
      <c r="Q5" s="13">
        <v>4</v>
      </c>
      <c r="R5" s="12">
        <v>0.61199999999999999</v>
      </c>
      <c r="S5" s="14"/>
      <c r="T5" s="14"/>
    </row>
    <row r="6" spans="1:20" ht="15" customHeight="1" x14ac:dyDescent="0.3">
      <c r="A6" s="15"/>
      <c r="B6" s="15"/>
      <c r="C6" s="13">
        <v>5</v>
      </c>
      <c r="D6" s="12">
        <v>0.20599999999999999</v>
      </c>
      <c r="E6" s="14"/>
      <c r="F6" s="14"/>
      <c r="H6" s="15"/>
      <c r="I6" s="15"/>
      <c r="J6" s="13">
        <v>5</v>
      </c>
      <c r="K6" s="12">
        <v>0.90900000000000003</v>
      </c>
      <c r="L6" s="14"/>
      <c r="M6" s="14"/>
      <c r="O6" s="15"/>
      <c r="P6" s="15"/>
      <c r="Q6" s="13">
        <v>5</v>
      </c>
      <c r="R6" s="12">
        <v>0.76800000000000002</v>
      </c>
      <c r="S6" s="14"/>
      <c r="T6" s="14"/>
    </row>
    <row r="7" spans="1:20" ht="15" customHeight="1" x14ac:dyDescent="0.3">
      <c r="A7" s="15"/>
      <c r="B7" s="15"/>
      <c r="C7" s="13">
        <v>6</v>
      </c>
      <c r="D7" s="12">
        <v>0.314</v>
      </c>
      <c r="E7" s="14"/>
      <c r="F7" s="14"/>
      <c r="H7" s="15"/>
      <c r="I7" s="15"/>
      <c r="J7" s="13">
        <v>6</v>
      </c>
      <c r="K7" s="12">
        <v>0.875</v>
      </c>
      <c r="L7" s="14"/>
      <c r="M7" s="14"/>
      <c r="O7" s="15"/>
      <c r="P7" s="15"/>
      <c r="Q7" s="13">
        <v>6</v>
      </c>
      <c r="R7" s="12">
        <v>0.97699999999999998</v>
      </c>
      <c r="S7" s="14"/>
      <c r="T7" s="14"/>
    </row>
    <row r="8" spans="1:20" ht="15" customHeight="1" x14ac:dyDescent="0.3">
      <c r="A8" s="15"/>
      <c r="B8" s="15"/>
      <c r="C8" s="13">
        <v>7</v>
      </c>
      <c r="D8" s="12">
        <v>0.58199999999999996</v>
      </c>
      <c r="E8" s="14"/>
      <c r="F8" s="14"/>
      <c r="H8" s="15"/>
      <c r="I8" s="15"/>
      <c r="J8" s="13">
        <v>7</v>
      </c>
      <c r="K8" s="12">
        <v>0.496</v>
      </c>
      <c r="L8" s="14"/>
      <c r="M8" s="14"/>
      <c r="O8" s="15"/>
      <c r="P8" s="15"/>
      <c r="Q8" s="13">
        <v>7</v>
      </c>
      <c r="R8" s="12">
        <v>1.075</v>
      </c>
      <c r="S8" s="14"/>
      <c r="T8" s="14"/>
    </row>
    <row r="9" spans="1:20" ht="15" customHeight="1" x14ac:dyDescent="0.3">
      <c r="A9" s="15"/>
      <c r="B9" s="15"/>
      <c r="C9" s="13">
        <v>8</v>
      </c>
      <c r="D9" s="12">
        <v>0.34799999999999998</v>
      </c>
      <c r="E9" s="14"/>
      <c r="F9" s="14"/>
      <c r="H9" s="15"/>
      <c r="I9" s="15"/>
      <c r="J9" s="13">
        <v>8</v>
      </c>
      <c r="K9" s="12">
        <v>0.27100000000000002</v>
      </c>
      <c r="L9" s="14"/>
      <c r="M9" s="14"/>
      <c r="O9" s="15"/>
      <c r="P9" s="15"/>
      <c r="Q9" s="13">
        <v>8</v>
      </c>
      <c r="R9" s="12">
        <v>1.498</v>
      </c>
      <c r="S9" s="14"/>
      <c r="T9" s="14"/>
    </row>
    <row r="10" spans="1:20" ht="15" customHeight="1" x14ac:dyDescent="0.3">
      <c r="A10" s="15"/>
      <c r="B10" s="15"/>
      <c r="C10" s="13">
        <v>9</v>
      </c>
      <c r="D10" s="12">
        <v>0.20699999999999999</v>
      </c>
      <c r="E10" s="14"/>
      <c r="F10" s="14"/>
      <c r="H10" s="15"/>
      <c r="I10" s="15"/>
      <c r="J10" s="13">
        <v>9</v>
      </c>
      <c r="K10" s="12">
        <v>0.80800000000000005</v>
      </c>
      <c r="L10" s="14"/>
      <c r="M10" s="14"/>
      <c r="O10" s="15"/>
      <c r="P10" s="15"/>
      <c r="Q10" s="13">
        <v>9</v>
      </c>
      <c r="R10" s="12">
        <v>0.94299999999999995</v>
      </c>
      <c r="S10" s="14"/>
      <c r="T10" s="14"/>
    </row>
    <row r="11" spans="1:20" ht="15" customHeight="1" x14ac:dyDescent="0.3">
      <c r="A11" s="15"/>
      <c r="B11" s="15"/>
      <c r="C11" s="13">
        <v>10</v>
      </c>
      <c r="D11" s="12">
        <v>0.57099999999999995</v>
      </c>
      <c r="E11" s="14"/>
      <c r="F11" s="14"/>
      <c r="H11" s="15"/>
      <c r="I11" s="15"/>
      <c r="J11" s="13">
        <v>10</v>
      </c>
      <c r="K11" s="12">
        <v>0.59699999999999998</v>
      </c>
      <c r="L11" s="14"/>
      <c r="M11" s="14"/>
      <c r="O11" s="15"/>
      <c r="P11" s="15"/>
      <c r="Q11" s="13">
        <v>10</v>
      </c>
      <c r="R11" s="12">
        <v>0.874</v>
      </c>
      <c r="S11" s="14"/>
      <c r="T11" s="14"/>
    </row>
    <row r="12" spans="1:20" ht="15" customHeight="1" x14ac:dyDescent="0.3">
      <c r="A12" s="15"/>
      <c r="B12" s="15"/>
      <c r="C12" s="13">
        <v>11</v>
      </c>
      <c r="D12" s="12">
        <v>0.70599999999999996</v>
      </c>
      <c r="E12" s="14"/>
      <c r="F12" s="14"/>
      <c r="H12" s="15"/>
      <c r="I12" s="15"/>
      <c r="J12" s="13">
        <v>11</v>
      </c>
      <c r="K12" s="12">
        <v>0.40600000000000003</v>
      </c>
      <c r="L12" s="14"/>
      <c r="M12" s="14"/>
      <c r="O12" s="15"/>
      <c r="P12" s="15"/>
      <c r="Q12" s="13">
        <v>11</v>
      </c>
      <c r="R12" s="12">
        <v>0.93100000000000005</v>
      </c>
      <c r="S12" s="14"/>
      <c r="T12" s="14"/>
    </row>
    <row r="13" spans="1:20" ht="15" customHeight="1" x14ac:dyDescent="0.3">
      <c r="A13" s="15"/>
      <c r="B13" s="15"/>
      <c r="C13" s="13">
        <v>12</v>
      </c>
      <c r="D13" s="12">
        <v>0.21199999999999999</v>
      </c>
      <c r="E13" s="14"/>
      <c r="F13" s="14"/>
      <c r="H13" s="15"/>
      <c r="I13" s="15"/>
      <c r="J13" s="13">
        <v>12</v>
      </c>
      <c r="K13" s="12">
        <v>0.28899999999999998</v>
      </c>
      <c r="L13" s="14"/>
      <c r="M13" s="14"/>
      <c r="O13" s="15"/>
      <c r="P13" s="15"/>
      <c r="Q13" s="13">
        <v>12</v>
      </c>
      <c r="R13" s="12">
        <v>0.91500000000000004</v>
      </c>
      <c r="S13" s="14"/>
      <c r="T13" s="14"/>
    </row>
    <row r="14" spans="1:20" ht="15" customHeight="1" x14ac:dyDescent="0.3">
      <c r="A14" s="15"/>
      <c r="B14" s="15"/>
      <c r="C14" s="13">
        <v>13</v>
      </c>
      <c r="D14" s="12">
        <v>0.17499999999999999</v>
      </c>
      <c r="E14" s="14"/>
      <c r="F14" s="14"/>
      <c r="H14" s="15"/>
      <c r="I14" s="15"/>
      <c r="J14" s="13">
        <v>13</v>
      </c>
      <c r="K14" s="12">
        <v>0.27900000000000003</v>
      </c>
      <c r="L14" s="14"/>
      <c r="M14" s="14"/>
      <c r="O14" s="15"/>
      <c r="P14" s="15"/>
      <c r="Q14" s="13">
        <v>13</v>
      </c>
      <c r="R14" s="12">
        <v>1.327</v>
      </c>
      <c r="S14" s="14"/>
      <c r="T14" s="14"/>
    </row>
    <row r="15" spans="1:20" ht="15" customHeight="1" x14ac:dyDescent="0.3">
      <c r="A15" s="15"/>
      <c r="B15" s="15"/>
      <c r="C15" s="13">
        <v>14</v>
      </c>
      <c r="D15" s="12">
        <v>0.60199999999999998</v>
      </c>
      <c r="E15" s="14"/>
      <c r="F15" s="14"/>
      <c r="H15" s="15"/>
      <c r="I15" s="15"/>
      <c r="J15" s="13">
        <v>14</v>
      </c>
      <c r="K15" s="12">
        <v>0.65700000000000003</v>
      </c>
      <c r="L15" s="14"/>
      <c r="M15" s="14"/>
      <c r="O15" s="15"/>
      <c r="P15" s="15"/>
      <c r="Q15" s="13">
        <v>14</v>
      </c>
      <c r="R15" s="12">
        <v>1.2010000000000001</v>
      </c>
      <c r="S15" s="14"/>
      <c r="T15" s="14"/>
    </row>
    <row r="16" spans="1:20" ht="15" customHeight="1" x14ac:dyDescent="0.3">
      <c r="A16" s="15"/>
      <c r="B16" s="15"/>
      <c r="C16" s="13">
        <v>15</v>
      </c>
      <c r="D16" s="12">
        <v>0.49299999999999999</v>
      </c>
      <c r="E16" s="14"/>
      <c r="F16" s="14"/>
      <c r="H16" s="15"/>
      <c r="I16" s="15"/>
      <c r="J16" s="13">
        <v>15</v>
      </c>
      <c r="K16" s="12">
        <v>0.76100000000000001</v>
      </c>
      <c r="L16" s="14"/>
      <c r="M16" s="14"/>
      <c r="O16" s="15"/>
      <c r="P16" s="15"/>
      <c r="Q16" s="13">
        <v>15</v>
      </c>
      <c r="R16" s="12">
        <v>0.85699999999999998</v>
      </c>
      <c r="S16" s="14"/>
      <c r="T16" s="14"/>
    </row>
    <row r="18" spans="1:20" ht="15" customHeight="1" x14ac:dyDescent="0.3">
      <c r="A18" s="11" t="s">
        <v>62</v>
      </c>
      <c r="B18" s="11" t="s">
        <v>63</v>
      </c>
      <c r="C18" s="11" t="s">
        <v>64</v>
      </c>
      <c r="D18" s="11" t="s">
        <v>65</v>
      </c>
      <c r="E18" s="11" t="s">
        <v>66</v>
      </c>
      <c r="F18" s="11" t="s">
        <v>67</v>
      </c>
      <c r="H18" s="11" t="s">
        <v>62</v>
      </c>
      <c r="I18" s="11" t="s">
        <v>63</v>
      </c>
      <c r="J18" s="11" t="s">
        <v>64</v>
      </c>
      <c r="K18" s="11" t="s">
        <v>65</v>
      </c>
      <c r="L18" s="11" t="s">
        <v>66</v>
      </c>
      <c r="M18" s="11" t="s">
        <v>67</v>
      </c>
      <c r="O18" s="11" t="s">
        <v>62</v>
      </c>
      <c r="P18" s="11" t="s">
        <v>63</v>
      </c>
      <c r="Q18" s="11" t="s">
        <v>64</v>
      </c>
      <c r="R18" s="11" t="s">
        <v>65</v>
      </c>
      <c r="S18" s="11" t="s">
        <v>66</v>
      </c>
      <c r="T18" s="11" t="s">
        <v>67</v>
      </c>
    </row>
    <row r="19" spans="1:20" ht="15" customHeight="1" x14ac:dyDescent="0.3">
      <c r="A19" s="15">
        <v>3.8</v>
      </c>
      <c r="B19" s="15">
        <v>3.2</v>
      </c>
      <c r="C19" s="13">
        <v>1</v>
      </c>
      <c r="D19" s="12">
        <v>0.60599999999999998</v>
      </c>
      <c r="E19" s="14">
        <f>AVERAGE(D19:D33)</f>
        <v>0.6899333333333334</v>
      </c>
      <c r="F19" s="14">
        <f>_xlfn.VAR.S(D19:D33)</f>
        <v>2.0555923809523678E-2</v>
      </c>
      <c r="H19" s="15">
        <v>5.4</v>
      </c>
      <c r="I19" s="15">
        <v>2.8</v>
      </c>
      <c r="J19" s="13">
        <v>1</v>
      </c>
      <c r="K19" s="12">
        <v>0.314</v>
      </c>
      <c r="L19" s="14">
        <f>AVERAGE(K19:K33)</f>
        <v>0.30513333333333337</v>
      </c>
      <c r="M19" s="14">
        <f>_xlfn.VAR.S(K19:K33)</f>
        <v>1.0717123809523785E-2</v>
      </c>
      <c r="O19" s="15">
        <v>5</v>
      </c>
      <c r="P19" s="15">
        <v>1.2</v>
      </c>
      <c r="Q19" s="13">
        <v>1</v>
      </c>
      <c r="R19" s="12">
        <v>0.17699999999999999</v>
      </c>
      <c r="S19" s="14">
        <f>AVERAGE(R19:R33)</f>
        <v>0.16326666666666664</v>
      </c>
      <c r="T19" s="14">
        <f>_xlfn.VAR.S(R19:R33)</f>
        <v>7.090780952380955E-3</v>
      </c>
    </row>
    <row r="20" spans="1:20" ht="15" customHeight="1" x14ac:dyDescent="0.3">
      <c r="A20" s="15"/>
      <c r="B20" s="15"/>
      <c r="C20" s="13">
        <v>2</v>
      </c>
      <c r="D20" s="12">
        <v>0.63700000000000001</v>
      </c>
      <c r="E20" s="14"/>
      <c r="F20" s="14"/>
      <c r="H20" s="15"/>
      <c r="I20" s="15"/>
      <c r="J20" s="13">
        <v>2</v>
      </c>
      <c r="K20" s="12">
        <v>0.05</v>
      </c>
      <c r="L20" s="14"/>
      <c r="M20" s="14"/>
      <c r="O20" s="15"/>
      <c r="P20" s="15"/>
      <c r="Q20" s="13">
        <v>2</v>
      </c>
      <c r="R20" s="12">
        <v>0.42899999999999999</v>
      </c>
      <c r="S20" s="14"/>
      <c r="T20" s="14"/>
    </row>
    <row r="21" spans="1:20" ht="15" customHeight="1" x14ac:dyDescent="0.3">
      <c r="A21" s="15"/>
      <c r="B21" s="15"/>
      <c r="C21" s="13">
        <v>3</v>
      </c>
      <c r="D21" s="12">
        <v>0.73799999999999999</v>
      </c>
      <c r="E21" s="14"/>
      <c r="F21" s="14"/>
      <c r="H21" s="15"/>
      <c r="I21" s="15"/>
      <c r="J21" s="13">
        <v>3</v>
      </c>
      <c r="K21" s="12">
        <v>0.11700000000000001</v>
      </c>
      <c r="L21" s="14"/>
      <c r="M21" s="14"/>
      <c r="O21" s="15"/>
      <c r="P21" s="15"/>
      <c r="Q21" s="13">
        <v>3</v>
      </c>
      <c r="R21" s="12">
        <v>0.17799999999999999</v>
      </c>
      <c r="S21" s="14"/>
      <c r="T21" s="14"/>
    </row>
    <row r="22" spans="1:20" ht="15" customHeight="1" x14ac:dyDescent="0.3">
      <c r="A22" s="15"/>
      <c r="B22" s="15"/>
      <c r="C22" s="13">
        <v>4</v>
      </c>
      <c r="D22" s="12">
        <v>0.83299999999999996</v>
      </c>
      <c r="E22" s="14"/>
      <c r="F22" s="14"/>
      <c r="H22" s="15"/>
      <c r="I22" s="15"/>
      <c r="J22" s="13">
        <v>4</v>
      </c>
      <c r="K22" s="12">
        <v>0.34599999999999997</v>
      </c>
      <c r="L22" s="14"/>
      <c r="M22" s="14"/>
      <c r="O22" s="15"/>
      <c r="P22" s="15"/>
      <c r="Q22" s="13">
        <v>4</v>
      </c>
      <c r="R22" s="12">
        <v>0.2</v>
      </c>
      <c r="S22" s="14"/>
      <c r="T22" s="14"/>
    </row>
    <row r="23" spans="1:20" ht="15" customHeight="1" x14ac:dyDescent="0.3">
      <c r="A23" s="15"/>
      <c r="B23" s="15"/>
      <c r="C23" s="13">
        <v>5</v>
      </c>
      <c r="D23" s="12">
        <v>0.97199999999999998</v>
      </c>
      <c r="E23" s="14"/>
      <c r="F23" s="14"/>
      <c r="H23" s="15"/>
      <c r="I23" s="15"/>
      <c r="J23" s="13">
        <v>5</v>
      </c>
      <c r="K23" s="12">
        <v>0.31</v>
      </c>
      <c r="L23" s="14"/>
      <c r="M23" s="14"/>
      <c r="O23" s="15"/>
      <c r="P23" s="15"/>
      <c r="Q23" s="13">
        <v>5</v>
      </c>
      <c r="R23" s="12">
        <v>0.16</v>
      </c>
      <c r="S23" s="14"/>
      <c r="T23" s="14"/>
    </row>
    <row r="24" spans="1:20" ht="15" customHeight="1" x14ac:dyDescent="0.3">
      <c r="A24" s="15"/>
      <c r="B24" s="15"/>
      <c r="C24" s="13">
        <v>6</v>
      </c>
      <c r="D24" s="12">
        <v>0.86</v>
      </c>
      <c r="E24" s="14"/>
      <c r="F24" s="14"/>
      <c r="H24" s="15"/>
      <c r="I24" s="15"/>
      <c r="J24" s="13">
        <v>6</v>
      </c>
      <c r="K24" s="12">
        <v>0.36</v>
      </c>
      <c r="L24" s="14"/>
      <c r="M24" s="14"/>
      <c r="O24" s="15"/>
      <c r="P24" s="15"/>
      <c r="Q24" s="13">
        <v>6</v>
      </c>
      <c r="R24" s="12">
        <v>0.111</v>
      </c>
      <c r="S24" s="14"/>
      <c r="T24" s="14"/>
    </row>
    <row r="25" spans="1:20" ht="15" customHeight="1" x14ac:dyDescent="0.3">
      <c r="A25" s="15"/>
      <c r="B25" s="15"/>
      <c r="C25" s="13">
        <v>7</v>
      </c>
      <c r="D25" s="12">
        <v>0.74199999999999999</v>
      </c>
      <c r="E25" s="14"/>
      <c r="F25" s="14"/>
      <c r="H25" s="15"/>
      <c r="I25" s="15"/>
      <c r="J25" s="13">
        <v>7</v>
      </c>
      <c r="K25" s="12">
        <v>0.34200000000000003</v>
      </c>
      <c r="L25" s="14"/>
      <c r="M25" s="14"/>
      <c r="O25" s="15"/>
      <c r="P25" s="15"/>
      <c r="Q25" s="13">
        <v>7</v>
      </c>
      <c r="R25" s="12">
        <v>0.14299999999999999</v>
      </c>
      <c r="S25" s="14"/>
      <c r="T25" s="14"/>
    </row>
    <row r="26" spans="1:20" ht="15" customHeight="1" x14ac:dyDescent="0.3">
      <c r="A26" s="15"/>
      <c r="B26" s="15"/>
      <c r="C26" s="13">
        <v>8</v>
      </c>
      <c r="D26" s="12">
        <v>0.52700000000000002</v>
      </c>
      <c r="E26" s="14"/>
      <c r="F26" s="14"/>
      <c r="H26" s="15"/>
      <c r="I26" s="15"/>
      <c r="J26" s="13">
        <v>8</v>
      </c>
      <c r="K26" s="12">
        <v>0.25900000000000001</v>
      </c>
      <c r="L26" s="14"/>
      <c r="M26" s="14"/>
      <c r="O26" s="15"/>
      <c r="P26" s="15"/>
      <c r="Q26" s="13">
        <v>8</v>
      </c>
      <c r="R26" s="12">
        <v>9.7000000000000003E-2</v>
      </c>
      <c r="S26" s="14"/>
      <c r="T26" s="14"/>
    </row>
    <row r="27" spans="1:20" ht="15" customHeight="1" x14ac:dyDescent="0.3">
      <c r="A27" s="15"/>
      <c r="B27" s="15"/>
      <c r="C27" s="13">
        <v>9</v>
      </c>
      <c r="D27" s="12">
        <v>0.50800000000000001</v>
      </c>
      <c r="E27" s="14"/>
      <c r="F27" s="14"/>
      <c r="H27" s="15"/>
      <c r="I27" s="15"/>
      <c r="J27" s="13">
        <v>9</v>
      </c>
      <c r="K27" s="12">
        <v>0.40100000000000002</v>
      </c>
      <c r="L27" s="14"/>
      <c r="M27" s="14"/>
      <c r="O27" s="15"/>
      <c r="P27" s="15"/>
      <c r="Q27" s="13">
        <v>9</v>
      </c>
      <c r="R27" s="12">
        <v>0.122</v>
      </c>
      <c r="S27" s="14"/>
      <c r="T27" s="14"/>
    </row>
    <row r="28" spans="1:20" ht="15" customHeight="1" x14ac:dyDescent="0.3">
      <c r="A28" s="15"/>
      <c r="B28" s="15"/>
      <c r="C28" s="13">
        <v>10</v>
      </c>
      <c r="D28" s="12">
        <v>0.60499999999999998</v>
      </c>
      <c r="E28" s="14"/>
      <c r="F28" s="14"/>
      <c r="H28" s="15"/>
      <c r="I28" s="15"/>
      <c r="J28" s="13">
        <v>10</v>
      </c>
      <c r="K28" s="12">
        <v>0.435</v>
      </c>
      <c r="L28" s="14"/>
      <c r="M28" s="14"/>
      <c r="O28" s="15"/>
      <c r="P28" s="15"/>
      <c r="Q28" s="13">
        <v>10</v>
      </c>
      <c r="R28" s="12">
        <v>0.108</v>
      </c>
      <c r="S28" s="14"/>
      <c r="T28" s="14"/>
    </row>
    <row r="29" spans="1:20" ht="15" customHeight="1" x14ac:dyDescent="0.3">
      <c r="A29" s="15"/>
      <c r="B29" s="15"/>
      <c r="C29" s="13">
        <v>11</v>
      </c>
      <c r="D29" s="12">
        <v>0.79900000000000004</v>
      </c>
      <c r="E29" s="14"/>
      <c r="F29" s="14"/>
      <c r="H29" s="15"/>
      <c r="I29" s="15"/>
      <c r="J29" s="13">
        <v>11</v>
      </c>
      <c r="K29" s="12">
        <v>0.35</v>
      </c>
      <c r="L29" s="14"/>
      <c r="M29" s="14"/>
      <c r="O29" s="15"/>
      <c r="P29" s="15"/>
      <c r="Q29" s="13">
        <v>11</v>
      </c>
      <c r="R29" s="12">
        <v>0.14000000000000001</v>
      </c>
      <c r="S29" s="14"/>
      <c r="T29" s="14"/>
    </row>
    <row r="30" spans="1:20" ht="15" customHeight="1" x14ac:dyDescent="0.3">
      <c r="A30" s="15"/>
      <c r="B30" s="15"/>
      <c r="C30" s="13">
        <v>12</v>
      </c>
      <c r="D30" s="12">
        <v>0.77600000000000002</v>
      </c>
      <c r="E30" s="14"/>
      <c r="F30" s="14"/>
      <c r="H30" s="15"/>
      <c r="I30" s="15"/>
      <c r="J30" s="13">
        <v>12</v>
      </c>
      <c r="K30" s="12">
        <v>0.36599999999999999</v>
      </c>
      <c r="L30" s="14"/>
      <c r="M30" s="14"/>
      <c r="O30" s="15"/>
      <c r="P30" s="15"/>
      <c r="Q30" s="13">
        <v>12</v>
      </c>
      <c r="R30" s="12">
        <v>0.161</v>
      </c>
      <c r="S30" s="14"/>
      <c r="T30" s="14"/>
    </row>
    <row r="31" spans="1:20" ht="15" customHeight="1" x14ac:dyDescent="0.3">
      <c r="A31" s="15"/>
      <c r="B31" s="15"/>
      <c r="C31" s="13">
        <v>13</v>
      </c>
      <c r="D31" s="12">
        <v>0.66700000000000004</v>
      </c>
      <c r="E31" s="14"/>
      <c r="F31" s="14"/>
      <c r="H31" s="15"/>
      <c r="I31" s="15"/>
      <c r="J31" s="13">
        <v>13</v>
      </c>
      <c r="K31" s="12">
        <v>0.38500000000000001</v>
      </c>
      <c r="L31" s="14"/>
      <c r="M31" s="14"/>
      <c r="O31" s="15"/>
      <c r="P31" s="15"/>
      <c r="Q31" s="13">
        <v>13</v>
      </c>
      <c r="R31" s="12">
        <v>0.05</v>
      </c>
      <c r="S31" s="14"/>
      <c r="T31" s="14"/>
    </row>
    <row r="32" spans="1:20" ht="15" customHeight="1" x14ac:dyDescent="0.3">
      <c r="A32" s="15"/>
      <c r="B32" s="15"/>
      <c r="C32" s="13">
        <v>14</v>
      </c>
      <c r="D32" s="12">
        <v>0.46200000000000002</v>
      </c>
      <c r="E32" s="14"/>
      <c r="F32" s="14"/>
      <c r="H32" s="15"/>
      <c r="I32" s="15"/>
      <c r="J32" s="13">
        <v>14</v>
      </c>
      <c r="K32" s="12">
        <v>0.29099999999999998</v>
      </c>
      <c r="L32" s="14"/>
      <c r="M32" s="14"/>
      <c r="O32" s="15"/>
      <c r="P32" s="15"/>
      <c r="Q32" s="13">
        <v>14</v>
      </c>
      <c r="R32" s="12">
        <v>0.19500000000000001</v>
      </c>
      <c r="S32" s="14"/>
      <c r="T32" s="14"/>
    </row>
    <row r="33" spans="1:20" ht="15" customHeight="1" x14ac:dyDescent="0.3">
      <c r="A33" s="15"/>
      <c r="B33" s="15"/>
      <c r="C33" s="13">
        <v>15</v>
      </c>
      <c r="D33" s="12">
        <v>0.61699999999999999</v>
      </c>
      <c r="E33" s="14"/>
      <c r="F33" s="14"/>
      <c r="H33" s="15"/>
      <c r="I33" s="15"/>
      <c r="J33" s="13">
        <v>15</v>
      </c>
      <c r="K33" s="12">
        <v>0.251</v>
      </c>
      <c r="L33" s="14"/>
      <c r="M33" s="14"/>
      <c r="O33" s="15"/>
      <c r="P33" s="15"/>
      <c r="Q33" s="13">
        <v>15</v>
      </c>
      <c r="R33" s="12">
        <v>0.17799999999999999</v>
      </c>
      <c r="S33" s="14"/>
      <c r="T33" s="14"/>
    </row>
    <row r="35" spans="1:20" ht="15" customHeight="1" x14ac:dyDescent="0.3">
      <c r="A35" s="11" t="s">
        <v>68</v>
      </c>
      <c r="B35" s="15" t="s">
        <v>71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</row>
  </sheetData>
  <mergeCells count="25">
    <mergeCell ref="L19:L33"/>
    <mergeCell ref="M19:M33"/>
    <mergeCell ref="B35:T35"/>
    <mergeCell ref="O19:O33"/>
    <mergeCell ref="P19:P33"/>
    <mergeCell ref="S19:S33"/>
    <mergeCell ref="T19:T33"/>
    <mergeCell ref="I19:I33"/>
    <mergeCell ref="A19:A33"/>
    <mergeCell ref="B19:B33"/>
    <mergeCell ref="E19:E33"/>
    <mergeCell ref="F19:F33"/>
    <mergeCell ref="H19:H33"/>
    <mergeCell ref="T2:T16"/>
    <mergeCell ref="A2:A16"/>
    <mergeCell ref="B2:B16"/>
    <mergeCell ref="E2:E16"/>
    <mergeCell ref="F2:F16"/>
    <mergeCell ref="H2:H16"/>
    <mergeCell ref="I2:I16"/>
    <mergeCell ref="L2:L16"/>
    <mergeCell ref="M2:M16"/>
    <mergeCell ref="O2:O16"/>
    <mergeCell ref="P2:P16"/>
    <mergeCell ref="S2:S16"/>
  </mergeCells>
  <phoneticPr fontId="1" type="noConversion"/>
  <conditionalFormatting sqref="D2:D1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D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1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53A47-2956-4501-9E59-95366E9851E9}">
  <dimension ref="A1:T35"/>
  <sheetViews>
    <sheetView zoomScale="85" zoomScaleNormal="85" workbookViewId="0">
      <selection sqref="A1:XFD1048576"/>
    </sheetView>
  </sheetViews>
  <sheetFormatPr defaultColWidth="10.75" defaultRowHeight="15" customHeight="1" x14ac:dyDescent="0.3"/>
  <cols>
    <col min="1" max="16384" width="10.75" style="10"/>
  </cols>
  <sheetData>
    <row r="1" spans="1:20" ht="15" customHeight="1" x14ac:dyDescent="0.3">
      <c r="A1" s="11" t="s">
        <v>62</v>
      </c>
      <c r="B1" s="11" t="s">
        <v>63</v>
      </c>
      <c r="C1" s="11" t="s">
        <v>64</v>
      </c>
      <c r="D1" s="11" t="s">
        <v>65</v>
      </c>
      <c r="E1" s="11" t="s">
        <v>66</v>
      </c>
      <c r="F1" s="11" t="s">
        <v>67</v>
      </c>
      <c r="H1" s="11" t="s">
        <v>62</v>
      </c>
      <c r="I1" s="11" t="s">
        <v>63</v>
      </c>
      <c r="J1" s="11" t="s">
        <v>64</v>
      </c>
      <c r="K1" s="11" t="s">
        <v>65</v>
      </c>
      <c r="L1" s="11" t="s">
        <v>66</v>
      </c>
      <c r="M1" s="11" t="s">
        <v>67</v>
      </c>
      <c r="O1" s="11" t="s">
        <v>62</v>
      </c>
      <c r="P1" s="11" t="s">
        <v>63</v>
      </c>
      <c r="Q1" s="11" t="s">
        <v>64</v>
      </c>
      <c r="R1" s="11" t="s">
        <v>65</v>
      </c>
      <c r="S1" s="11" t="s">
        <v>66</v>
      </c>
      <c r="T1" s="11" t="s">
        <v>67</v>
      </c>
    </row>
    <row r="2" spans="1:20" ht="15" customHeight="1" x14ac:dyDescent="0.3">
      <c r="A2" s="15">
        <v>4.5999999999999996</v>
      </c>
      <c r="B2" s="15">
        <v>2.4</v>
      </c>
      <c r="C2" s="13">
        <v>1</v>
      </c>
      <c r="D2" s="12"/>
      <c r="E2" s="14" t="e">
        <f>AVERAGE(D2:D16)</f>
        <v>#DIV/0!</v>
      </c>
      <c r="F2" s="14" t="e">
        <f>_xlfn.VAR.S(D2:D16)</f>
        <v>#DIV/0!</v>
      </c>
      <c r="H2" s="15">
        <v>3.8</v>
      </c>
      <c r="I2" s="15">
        <v>2.4</v>
      </c>
      <c r="J2" s="13">
        <v>1</v>
      </c>
      <c r="K2" s="12"/>
      <c r="L2" s="14" t="e">
        <f>AVERAGE(K2:K16)</f>
        <v>#DIV/0!</v>
      </c>
      <c r="M2" s="14" t="e">
        <f>_xlfn.VAR.S(K2:K16)</f>
        <v>#DIV/0!</v>
      </c>
      <c r="O2" s="15">
        <v>4.2</v>
      </c>
      <c r="P2" s="15">
        <v>1.6</v>
      </c>
      <c r="Q2" s="13">
        <v>1</v>
      </c>
      <c r="R2" s="12"/>
      <c r="S2" s="14" t="e">
        <f>AVERAGE(R2:R16)</f>
        <v>#DIV/0!</v>
      </c>
      <c r="T2" s="14" t="e">
        <f>_xlfn.VAR.S(R2:R16)</f>
        <v>#DIV/0!</v>
      </c>
    </row>
    <row r="3" spans="1:20" ht="15" customHeight="1" x14ac:dyDescent="0.3">
      <c r="A3" s="15"/>
      <c r="B3" s="15"/>
      <c r="C3" s="13">
        <v>2</v>
      </c>
      <c r="D3" s="12"/>
      <c r="E3" s="14"/>
      <c r="F3" s="14"/>
      <c r="H3" s="15"/>
      <c r="I3" s="15"/>
      <c r="J3" s="13">
        <v>2</v>
      </c>
      <c r="K3" s="12"/>
      <c r="L3" s="14"/>
      <c r="M3" s="14"/>
      <c r="O3" s="15"/>
      <c r="P3" s="15"/>
      <c r="Q3" s="13">
        <v>2</v>
      </c>
      <c r="R3" s="12"/>
      <c r="S3" s="14"/>
      <c r="T3" s="14"/>
    </row>
    <row r="4" spans="1:20" ht="15" customHeight="1" x14ac:dyDescent="0.3">
      <c r="A4" s="15"/>
      <c r="B4" s="15"/>
      <c r="C4" s="13">
        <v>3</v>
      </c>
      <c r="D4" s="12"/>
      <c r="E4" s="14"/>
      <c r="F4" s="14"/>
      <c r="H4" s="15"/>
      <c r="I4" s="15"/>
      <c r="J4" s="13">
        <v>3</v>
      </c>
      <c r="K4" s="12"/>
      <c r="L4" s="14"/>
      <c r="M4" s="14"/>
      <c r="O4" s="15"/>
      <c r="P4" s="15"/>
      <c r="Q4" s="13">
        <v>3</v>
      </c>
      <c r="R4" s="12"/>
      <c r="S4" s="14"/>
      <c r="T4" s="14"/>
    </row>
    <row r="5" spans="1:20" ht="15" customHeight="1" x14ac:dyDescent="0.3">
      <c r="A5" s="15"/>
      <c r="B5" s="15"/>
      <c r="C5" s="13">
        <v>4</v>
      </c>
      <c r="D5" s="12"/>
      <c r="E5" s="14"/>
      <c r="F5" s="14"/>
      <c r="H5" s="15"/>
      <c r="I5" s="15"/>
      <c r="J5" s="13">
        <v>4</v>
      </c>
      <c r="K5" s="12"/>
      <c r="L5" s="14"/>
      <c r="M5" s="14"/>
      <c r="O5" s="15"/>
      <c r="P5" s="15"/>
      <c r="Q5" s="13">
        <v>4</v>
      </c>
      <c r="R5" s="12"/>
      <c r="S5" s="14"/>
      <c r="T5" s="14"/>
    </row>
    <row r="6" spans="1:20" ht="15" customHeight="1" x14ac:dyDescent="0.3">
      <c r="A6" s="15"/>
      <c r="B6" s="15"/>
      <c r="C6" s="13">
        <v>5</v>
      </c>
      <c r="D6" s="12"/>
      <c r="E6" s="14"/>
      <c r="F6" s="14"/>
      <c r="H6" s="15"/>
      <c r="I6" s="15"/>
      <c r="J6" s="13">
        <v>5</v>
      </c>
      <c r="K6" s="12"/>
      <c r="L6" s="14"/>
      <c r="M6" s="14"/>
      <c r="O6" s="15"/>
      <c r="P6" s="15"/>
      <c r="Q6" s="13">
        <v>5</v>
      </c>
      <c r="R6" s="12"/>
      <c r="S6" s="14"/>
      <c r="T6" s="14"/>
    </row>
    <row r="7" spans="1:20" ht="15" customHeight="1" x14ac:dyDescent="0.3">
      <c r="A7" s="15"/>
      <c r="B7" s="15"/>
      <c r="C7" s="13">
        <v>6</v>
      </c>
      <c r="D7" s="12"/>
      <c r="E7" s="14"/>
      <c r="F7" s="14"/>
      <c r="H7" s="15"/>
      <c r="I7" s="15"/>
      <c r="J7" s="13">
        <v>6</v>
      </c>
      <c r="K7" s="12"/>
      <c r="L7" s="14"/>
      <c r="M7" s="14"/>
      <c r="O7" s="15"/>
      <c r="P7" s="15"/>
      <c r="Q7" s="13">
        <v>6</v>
      </c>
      <c r="R7" s="12"/>
      <c r="S7" s="14"/>
      <c r="T7" s="14"/>
    </row>
    <row r="8" spans="1:20" ht="15" customHeight="1" x14ac:dyDescent="0.3">
      <c r="A8" s="15"/>
      <c r="B8" s="15"/>
      <c r="C8" s="13">
        <v>7</v>
      </c>
      <c r="D8" s="12"/>
      <c r="E8" s="14"/>
      <c r="F8" s="14"/>
      <c r="H8" s="15"/>
      <c r="I8" s="15"/>
      <c r="J8" s="13">
        <v>7</v>
      </c>
      <c r="K8" s="12"/>
      <c r="L8" s="14"/>
      <c r="M8" s="14"/>
      <c r="O8" s="15"/>
      <c r="P8" s="15"/>
      <c r="Q8" s="13">
        <v>7</v>
      </c>
      <c r="R8" s="12"/>
      <c r="S8" s="14"/>
      <c r="T8" s="14"/>
    </row>
    <row r="9" spans="1:20" ht="15" customHeight="1" x14ac:dyDescent="0.3">
      <c r="A9" s="15"/>
      <c r="B9" s="15"/>
      <c r="C9" s="13">
        <v>8</v>
      </c>
      <c r="D9" s="12"/>
      <c r="E9" s="14"/>
      <c r="F9" s="14"/>
      <c r="H9" s="15"/>
      <c r="I9" s="15"/>
      <c r="J9" s="13">
        <v>8</v>
      </c>
      <c r="K9" s="12"/>
      <c r="L9" s="14"/>
      <c r="M9" s="14"/>
      <c r="O9" s="15"/>
      <c r="P9" s="15"/>
      <c r="Q9" s="13">
        <v>8</v>
      </c>
      <c r="R9" s="12"/>
      <c r="S9" s="14"/>
      <c r="T9" s="14"/>
    </row>
    <row r="10" spans="1:20" ht="15" customHeight="1" x14ac:dyDescent="0.3">
      <c r="A10" s="15"/>
      <c r="B10" s="15"/>
      <c r="C10" s="13">
        <v>9</v>
      </c>
      <c r="D10" s="12"/>
      <c r="E10" s="14"/>
      <c r="F10" s="14"/>
      <c r="H10" s="15"/>
      <c r="I10" s="15"/>
      <c r="J10" s="13">
        <v>9</v>
      </c>
      <c r="K10" s="12"/>
      <c r="L10" s="14"/>
      <c r="M10" s="14"/>
      <c r="O10" s="15"/>
      <c r="P10" s="15"/>
      <c r="Q10" s="13">
        <v>9</v>
      </c>
      <c r="R10" s="12"/>
      <c r="S10" s="14"/>
      <c r="T10" s="14"/>
    </row>
    <row r="11" spans="1:20" ht="15" customHeight="1" x14ac:dyDescent="0.3">
      <c r="A11" s="15"/>
      <c r="B11" s="15"/>
      <c r="C11" s="13">
        <v>10</v>
      </c>
      <c r="D11" s="12"/>
      <c r="E11" s="14"/>
      <c r="F11" s="14"/>
      <c r="H11" s="15"/>
      <c r="I11" s="15"/>
      <c r="J11" s="13">
        <v>10</v>
      </c>
      <c r="K11" s="12"/>
      <c r="L11" s="14"/>
      <c r="M11" s="14"/>
      <c r="O11" s="15"/>
      <c r="P11" s="15"/>
      <c r="Q11" s="13">
        <v>10</v>
      </c>
      <c r="R11" s="12"/>
      <c r="S11" s="14"/>
      <c r="T11" s="14"/>
    </row>
    <row r="12" spans="1:20" ht="15" customHeight="1" x14ac:dyDescent="0.3">
      <c r="A12" s="15"/>
      <c r="B12" s="15"/>
      <c r="C12" s="13">
        <v>11</v>
      </c>
      <c r="D12" s="12"/>
      <c r="E12" s="14"/>
      <c r="F12" s="14"/>
      <c r="H12" s="15"/>
      <c r="I12" s="15"/>
      <c r="J12" s="13">
        <v>11</v>
      </c>
      <c r="K12" s="12"/>
      <c r="L12" s="14"/>
      <c r="M12" s="14"/>
      <c r="O12" s="15"/>
      <c r="P12" s="15"/>
      <c r="Q12" s="13">
        <v>11</v>
      </c>
      <c r="R12" s="12"/>
      <c r="S12" s="14"/>
      <c r="T12" s="14"/>
    </row>
    <row r="13" spans="1:20" ht="15" customHeight="1" x14ac:dyDescent="0.3">
      <c r="A13" s="15"/>
      <c r="B13" s="15"/>
      <c r="C13" s="13">
        <v>12</v>
      </c>
      <c r="D13" s="12"/>
      <c r="E13" s="14"/>
      <c r="F13" s="14"/>
      <c r="H13" s="15"/>
      <c r="I13" s="15"/>
      <c r="J13" s="13">
        <v>12</v>
      </c>
      <c r="K13" s="12"/>
      <c r="L13" s="14"/>
      <c r="M13" s="14"/>
      <c r="O13" s="15"/>
      <c r="P13" s="15"/>
      <c r="Q13" s="13">
        <v>12</v>
      </c>
      <c r="R13" s="12"/>
      <c r="S13" s="14"/>
      <c r="T13" s="14"/>
    </row>
    <row r="14" spans="1:20" ht="15" customHeight="1" x14ac:dyDescent="0.3">
      <c r="A14" s="15"/>
      <c r="B14" s="15"/>
      <c r="C14" s="13">
        <v>13</v>
      </c>
      <c r="D14" s="12"/>
      <c r="E14" s="14"/>
      <c r="F14" s="14"/>
      <c r="H14" s="15"/>
      <c r="I14" s="15"/>
      <c r="J14" s="13">
        <v>13</v>
      </c>
      <c r="K14" s="12"/>
      <c r="L14" s="14"/>
      <c r="M14" s="14"/>
      <c r="O14" s="15"/>
      <c r="P14" s="15"/>
      <c r="Q14" s="13">
        <v>13</v>
      </c>
      <c r="R14" s="12"/>
      <c r="S14" s="14"/>
      <c r="T14" s="14"/>
    </row>
    <row r="15" spans="1:20" ht="15" customHeight="1" x14ac:dyDescent="0.3">
      <c r="A15" s="15"/>
      <c r="B15" s="15"/>
      <c r="C15" s="13">
        <v>14</v>
      </c>
      <c r="D15" s="12"/>
      <c r="E15" s="14"/>
      <c r="F15" s="14"/>
      <c r="H15" s="15"/>
      <c r="I15" s="15"/>
      <c r="J15" s="13">
        <v>14</v>
      </c>
      <c r="K15" s="12"/>
      <c r="L15" s="14"/>
      <c r="M15" s="14"/>
      <c r="O15" s="15"/>
      <c r="P15" s="15"/>
      <c r="Q15" s="13">
        <v>14</v>
      </c>
      <c r="R15" s="12"/>
      <c r="S15" s="14"/>
      <c r="T15" s="14"/>
    </row>
    <row r="16" spans="1:20" ht="15" customHeight="1" x14ac:dyDescent="0.3">
      <c r="A16" s="15"/>
      <c r="B16" s="15"/>
      <c r="C16" s="13">
        <v>15</v>
      </c>
      <c r="D16" s="12"/>
      <c r="E16" s="14"/>
      <c r="F16" s="14"/>
      <c r="H16" s="15"/>
      <c r="I16" s="15"/>
      <c r="J16" s="13">
        <v>15</v>
      </c>
      <c r="K16" s="12"/>
      <c r="L16" s="14"/>
      <c r="M16" s="14"/>
      <c r="O16" s="15"/>
      <c r="P16" s="15"/>
      <c r="Q16" s="13">
        <v>15</v>
      </c>
      <c r="R16" s="12"/>
      <c r="S16" s="14"/>
      <c r="T16" s="14"/>
    </row>
    <row r="18" spans="1:20" ht="15" customHeight="1" x14ac:dyDescent="0.3">
      <c r="A18" s="11" t="s">
        <v>62</v>
      </c>
      <c r="B18" s="11" t="s">
        <v>63</v>
      </c>
      <c r="C18" s="11" t="s">
        <v>64</v>
      </c>
      <c r="D18" s="11" t="s">
        <v>65</v>
      </c>
      <c r="E18" s="11" t="s">
        <v>66</v>
      </c>
      <c r="F18" s="11" t="s">
        <v>67</v>
      </c>
      <c r="H18" s="11" t="s">
        <v>62</v>
      </c>
      <c r="I18" s="11" t="s">
        <v>63</v>
      </c>
      <c r="J18" s="11" t="s">
        <v>64</v>
      </c>
      <c r="K18" s="11" t="s">
        <v>65</v>
      </c>
      <c r="L18" s="11" t="s">
        <v>66</v>
      </c>
      <c r="M18" s="11" t="s">
        <v>67</v>
      </c>
      <c r="O18" s="11" t="s">
        <v>62</v>
      </c>
      <c r="P18" s="11" t="s">
        <v>63</v>
      </c>
      <c r="Q18" s="11" t="s">
        <v>64</v>
      </c>
      <c r="R18" s="11" t="s">
        <v>65</v>
      </c>
      <c r="S18" s="11" t="s">
        <v>66</v>
      </c>
      <c r="T18" s="11" t="s">
        <v>67</v>
      </c>
    </row>
    <row r="19" spans="1:20" ht="15" customHeight="1" x14ac:dyDescent="0.3">
      <c r="A19" s="15">
        <v>3.8</v>
      </c>
      <c r="B19" s="15">
        <v>3.2</v>
      </c>
      <c r="C19" s="13">
        <v>1</v>
      </c>
      <c r="D19" s="12"/>
      <c r="E19" s="14" t="e">
        <f>AVERAGE(D19:D33)</f>
        <v>#DIV/0!</v>
      </c>
      <c r="F19" s="14" t="e">
        <f>_xlfn.VAR.S(D19:D33)</f>
        <v>#DIV/0!</v>
      </c>
      <c r="H19" s="15">
        <v>5.4</v>
      </c>
      <c r="I19" s="15">
        <v>2.8</v>
      </c>
      <c r="J19" s="13">
        <v>1</v>
      </c>
      <c r="K19" s="12"/>
      <c r="L19" s="14" t="e">
        <f>AVERAGE(K19:K33)</f>
        <v>#DIV/0!</v>
      </c>
      <c r="M19" s="14" t="e">
        <f>_xlfn.VAR.S(K19:K33)</f>
        <v>#DIV/0!</v>
      </c>
      <c r="O19" s="15">
        <v>5</v>
      </c>
      <c r="P19" s="15">
        <v>1.2</v>
      </c>
      <c r="Q19" s="13">
        <v>1</v>
      </c>
      <c r="R19" s="12"/>
      <c r="S19" s="14" t="e">
        <f>AVERAGE(R19:R33)</f>
        <v>#DIV/0!</v>
      </c>
      <c r="T19" s="14" t="e">
        <f>_xlfn.VAR.S(R19:R33)</f>
        <v>#DIV/0!</v>
      </c>
    </row>
    <row r="20" spans="1:20" ht="15" customHeight="1" x14ac:dyDescent="0.3">
      <c r="A20" s="15"/>
      <c r="B20" s="15"/>
      <c r="C20" s="13">
        <v>2</v>
      </c>
      <c r="D20" s="12"/>
      <c r="E20" s="14"/>
      <c r="F20" s="14"/>
      <c r="H20" s="15"/>
      <c r="I20" s="15"/>
      <c r="J20" s="13">
        <v>2</v>
      </c>
      <c r="K20" s="12"/>
      <c r="L20" s="14"/>
      <c r="M20" s="14"/>
      <c r="O20" s="15"/>
      <c r="P20" s="15"/>
      <c r="Q20" s="13">
        <v>2</v>
      </c>
      <c r="R20" s="12"/>
      <c r="S20" s="14"/>
      <c r="T20" s="14"/>
    </row>
    <row r="21" spans="1:20" ht="15" customHeight="1" x14ac:dyDescent="0.3">
      <c r="A21" s="15"/>
      <c r="B21" s="15"/>
      <c r="C21" s="13">
        <v>3</v>
      </c>
      <c r="D21" s="12"/>
      <c r="E21" s="14"/>
      <c r="F21" s="14"/>
      <c r="H21" s="15"/>
      <c r="I21" s="15"/>
      <c r="J21" s="13">
        <v>3</v>
      </c>
      <c r="K21" s="12"/>
      <c r="L21" s="14"/>
      <c r="M21" s="14"/>
      <c r="O21" s="15"/>
      <c r="P21" s="15"/>
      <c r="Q21" s="13">
        <v>3</v>
      </c>
      <c r="R21" s="12"/>
      <c r="S21" s="14"/>
      <c r="T21" s="14"/>
    </row>
    <row r="22" spans="1:20" ht="15" customHeight="1" x14ac:dyDescent="0.3">
      <c r="A22" s="15"/>
      <c r="B22" s="15"/>
      <c r="C22" s="13">
        <v>4</v>
      </c>
      <c r="D22" s="12"/>
      <c r="E22" s="14"/>
      <c r="F22" s="14"/>
      <c r="H22" s="15"/>
      <c r="I22" s="15"/>
      <c r="J22" s="13">
        <v>4</v>
      </c>
      <c r="K22" s="12"/>
      <c r="L22" s="14"/>
      <c r="M22" s="14"/>
      <c r="O22" s="15"/>
      <c r="P22" s="15"/>
      <c r="Q22" s="13">
        <v>4</v>
      </c>
      <c r="R22" s="12"/>
      <c r="S22" s="14"/>
      <c r="T22" s="14"/>
    </row>
    <row r="23" spans="1:20" ht="15" customHeight="1" x14ac:dyDescent="0.3">
      <c r="A23" s="15"/>
      <c r="B23" s="15"/>
      <c r="C23" s="13">
        <v>5</v>
      </c>
      <c r="D23" s="12"/>
      <c r="E23" s="14"/>
      <c r="F23" s="14"/>
      <c r="H23" s="15"/>
      <c r="I23" s="15"/>
      <c r="J23" s="13">
        <v>5</v>
      </c>
      <c r="K23" s="12"/>
      <c r="L23" s="14"/>
      <c r="M23" s="14"/>
      <c r="O23" s="15"/>
      <c r="P23" s="15"/>
      <c r="Q23" s="13">
        <v>5</v>
      </c>
      <c r="R23" s="12"/>
      <c r="S23" s="14"/>
      <c r="T23" s="14"/>
    </row>
    <row r="24" spans="1:20" ht="15" customHeight="1" x14ac:dyDescent="0.3">
      <c r="A24" s="15"/>
      <c r="B24" s="15"/>
      <c r="C24" s="13">
        <v>6</v>
      </c>
      <c r="D24" s="12"/>
      <c r="E24" s="14"/>
      <c r="F24" s="14"/>
      <c r="H24" s="15"/>
      <c r="I24" s="15"/>
      <c r="J24" s="13">
        <v>6</v>
      </c>
      <c r="K24" s="12"/>
      <c r="L24" s="14"/>
      <c r="M24" s="14"/>
      <c r="O24" s="15"/>
      <c r="P24" s="15"/>
      <c r="Q24" s="13">
        <v>6</v>
      </c>
      <c r="R24" s="12"/>
      <c r="S24" s="14"/>
      <c r="T24" s="14"/>
    </row>
    <row r="25" spans="1:20" ht="15" customHeight="1" x14ac:dyDescent="0.3">
      <c r="A25" s="15"/>
      <c r="B25" s="15"/>
      <c r="C25" s="13">
        <v>7</v>
      </c>
      <c r="D25" s="12"/>
      <c r="E25" s="14"/>
      <c r="F25" s="14"/>
      <c r="H25" s="15"/>
      <c r="I25" s="15"/>
      <c r="J25" s="13">
        <v>7</v>
      </c>
      <c r="K25" s="12"/>
      <c r="L25" s="14"/>
      <c r="M25" s="14"/>
      <c r="O25" s="15"/>
      <c r="P25" s="15"/>
      <c r="Q25" s="13">
        <v>7</v>
      </c>
      <c r="R25" s="12"/>
      <c r="S25" s="14"/>
      <c r="T25" s="14"/>
    </row>
    <row r="26" spans="1:20" ht="15" customHeight="1" x14ac:dyDescent="0.3">
      <c r="A26" s="15"/>
      <c r="B26" s="15"/>
      <c r="C26" s="13">
        <v>8</v>
      </c>
      <c r="D26" s="12"/>
      <c r="E26" s="14"/>
      <c r="F26" s="14"/>
      <c r="H26" s="15"/>
      <c r="I26" s="15"/>
      <c r="J26" s="13">
        <v>8</v>
      </c>
      <c r="K26" s="12"/>
      <c r="L26" s="14"/>
      <c r="M26" s="14"/>
      <c r="O26" s="15"/>
      <c r="P26" s="15"/>
      <c r="Q26" s="13">
        <v>8</v>
      </c>
      <c r="R26" s="12"/>
      <c r="S26" s="14"/>
      <c r="T26" s="14"/>
    </row>
    <row r="27" spans="1:20" ht="15" customHeight="1" x14ac:dyDescent="0.3">
      <c r="A27" s="15"/>
      <c r="B27" s="15"/>
      <c r="C27" s="13">
        <v>9</v>
      </c>
      <c r="D27" s="12"/>
      <c r="E27" s="14"/>
      <c r="F27" s="14"/>
      <c r="H27" s="15"/>
      <c r="I27" s="15"/>
      <c r="J27" s="13">
        <v>9</v>
      </c>
      <c r="K27" s="12"/>
      <c r="L27" s="14"/>
      <c r="M27" s="14"/>
      <c r="O27" s="15"/>
      <c r="P27" s="15"/>
      <c r="Q27" s="13">
        <v>9</v>
      </c>
      <c r="R27" s="12"/>
      <c r="S27" s="14"/>
      <c r="T27" s="14"/>
    </row>
    <row r="28" spans="1:20" ht="15" customHeight="1" x14ac:dyDescent="0.3">
      <c r="A28" s="15"/>
      <c r="B28" s="15"/>
      <c r="C28" s="13">
        <v>10</v>
      </c>
      <c r="D28" s="12"/>
      <c r="E28" s="14"/>
      <c r="F28" s="14"/>
      <c r="H28" s="15"/>
      <c r="I28" s="15"/>
      <c r="J28" s="13">
        <v>10</v>
      </c>
      <c r="K28" s="12"/>
      <c r="L28" s="14"/>
      <c r="M28" s="14"/>
      <c r="O28" s="15"/>
      <c r="P28" s="15"/>
      <c r="Q28" s="13">
        <v>10</v>
      </c>
      <c r="R28" s="12"/>
      <c r="S28" s="14"/>
      <c r="T28" s="14"/>
    </row>
    <row r="29" spans="1:20" ht="15" customHeight="1" x14ac:dyDescent="0.3">
      <c r="A29" s="15"/>
      <c r="B29" s="15"/>
      <c r="C29" s="13">
        <v>11</v>
      </c>
      <c r="D29" s="12"/>
      <c r="E29" s="14"/>
      <c r="F29" s="14"/>
      <c r="H29" s="15"/>
      <c r="I29" s="15"/>
      <c r="J29" s="13">
        <v>11</v>
      </c>
      <c r="K29" s="12"/>
      <c r="L29" s="14"/>
      <c r="M29" s="14"/>
      <c r="O29" s="15"/>
      <c r="P29" s="15"/>
      <c r="Q29" s="13">
        <v>11</v>
      </c>
      <c r="R29" s="12"/>
      <c r="S29" s="14"/>
      <c r="T29" s="14"/>
    </row>
    <row r="30" spans="1:20" ht="15" customHeight="1" x14ac:dyDescent="0.3">
      <c r="A30" s="15"/>
      <c r="B30" s="15"/>
      <c r="C30" s="13">
        <v>12</v>
      </c>
      <c r="D30" s="12"/>
      <c r="E30" s="14"/>
      <c r="F30" s="14"/>
      <c r="H30" s="15"/>
      <c r="I30" s="15"/>
      <c r="J30" s="13">
        <v>12</v>
      </c>
      <c r="K30" s="12"/>
      <c r="L30" s="14"/>
      <c r="M30" s="14"/>
      <c r="O30" s="15"/>
      <c r="P30" s="15"/>
      <c r="Q30" s="13">
        <v>12</v>
      </c>
      <c r="R30" s="12"/>
      <c r="S30" s="14"/>
      <c r="T30" s="14"/>
    </row>
    <row r="31" spans="1:20" ht="15" customHeight="1" x14ac:dyDescent="0.3">
      <c r="A31" s="15"/>
      <c r="B31" s="15"/>
      <c r="C31" s="13">
        <v>13</v>
      </c>
      <c r="D31" s="12"/>
      <c r="E31" s="14"/>
      <c r="F31" s="14"/>
      <c r="H31" s="15"/>
      <c r="I31" s="15"/>
      <c r="J31" s="13">
        <v>13</v>
      </c>
      <c r="K31" s="12"/>
      <c r="L31" s="14"/>
      <c r="M31" s="14"/>
      <c r="O31" s="15"/>
      <c r="P31" s="15"/>
      <c r="Q31" s="13">
        <v>13</v>
      </c>
      <c r="R31" s="12"/>
      <c r="S31" s="14"/>
      <c r="T31" s="14"/>
    </row>
    <row r="32" spans="1:20" ht="15" customHeight="1" x14ac:dyDescent="0.3">
      <c r="A32" s="15"/>
      <c r="B32" s="15"/>
      <c r="C32" s="13">
        <v>14</v>
      </c>
      <c r="D32" s="12"/>
      <c r="E32" s="14"/>
      <c r="F32" s="14"/>
      <c r="H32" s="15"/>
      <c r="I32" s="15"/>
      <c r="J32" s="13">
        <v>14</v>
      </c>
      <c r="K32" s="12"/>
      <c r="L32" s="14"/>
      <c r="M32" s="14"/>
      <c r="O32" s="15"/>
      <c r="P32" s="15"/>
      <c r="Q32" s="13">
        <v>14</v>
      </c>
      <c r="R32" s="12"/>
      <c r="S32" s="14"/>
      <c r="T32" s="14"/>
    </row>
    <row r="33" spans="1:20" ht="15" customHeight="1" x14ac:dyDescent="0.3">
      <c r="A33" s="15"/>
      <c r="B33" s="15"/>
      <c r="C33" s="13">
        <v>15</v>
      </c>
      <c r="D33" s="12"/>
      <c r="E33" s="14"/>
      <c r="F33" s="14"/>
      <c r="H33" s="15"/>
      <c r="I33" s="15"/>
      <c r="J33" s="13">
        <v>15</v>
      </c>
      <c r="K33" s="12"/>
      <c r="L33" s="14"/>
      <c r="M33" s="14"/>
      <c r="O33" s="15"/>
      <c r="P33" s="15"/>
      <c r="Q33" s="13">
        <v>15</v>
      </c>
      <c r="R33" s="12"/>
      <c r="S33" s="14"/>
      <c r="T33" s="14"/>
    </row>
    <row r="35" spans="1:20" ht="15" customHeight="1" x14ac:dyDescent="0.3">
      <c r="A35" s="11" t="s">
        <v>68</v>
      </c>
      <c r="B35" s="15" t="s">
        <v>70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</row>
  </sheetData>
  <mergeCells count="25">
    <mergeCell ref="L19:L33"/>
    <mergeCell ref="M19:M33"/>
    <mergeCell ref="B35:T35"/>
    <mergeCell ref="O19:O33"/>
    <mergeCell ref="P19:P33"/>
    <mergeCell ref="S19:S33"/>
    <mergeCell ref="T19:T33"/>
    <mergeCell ref="I19:I33"/>
    <mergeCell ref="A19:A33"/>
    <mergeCell ref="B19:B33"/>
    <mergeCell ref="E19:E33"/>
    <mergeCell ref="F19:F33"/>
    <mergeCell ref="H19:H33"/>
    <mergeCell ref="T2:T16"/>
    <mergeCell ref="A2:A16"/>
    <mergeCell ref="B2:B16"/>
    <mergeCell ref="E2:E16"/>
    <mergeCell ref="F2:F16"/>
    <mergeCell ref="H2:H16"/>
    <mergeCell ref="I2:I16"/>
    <mergeCell ref="L2:L16"/>
    <mergeCell ref="M2:M16"/>
    <mergeCell ref="O2:O16"/>
    <mergeCell ref="P2:P16"/>
    <mergeCell ref="S2:S16"/>
  </mergeCells>
  <phoneticPr fontId="1" type="noConversion"/>
  <conditionalFormatting sqref="D2:D1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D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1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F5DD0-80AD-428D-B2E3-B8CE5C49C830}">
  <dimension ref="A1:P14"/>
  <sheetViews>
    <sheetView workbookViewId="0">
      <selection activeCell="O13" sqref="O13"/>
    </sheetView>
  </sheetViews>
  <sheetFormatPr defaultColWidth="10.75" defaultRowHeight="20.149999999999999" customHeight="1" x14ac:dyDescent="0.3"/>
  <cols>
    <col min="1" max="16384" width="10.75" style="3"/>
  </cols>
  <sheetData>
    <row r="1" spans="1:16" ht="20.149999999999999" customHeight="1" x14ac:dyDescent="0.3">
      <c r="A1" s="7" t="s">
        <v>55</v>
      </c>
      <c r="B1" s="7">
        <v>0</v>
      </c>
      <c r="C1" s="7">
        <v>1.2</v>
      </c>
      <c r="D1" s="7">
        <v>2.2000000000000002</v>
      </c>
      <c r="E1" s="7">
        <f>D1+0.4</f>
        <v>2.6</v>
      </c>
      <c r="F1" s="7">
        <f t="shared" ref="F1:N1" si="0">E1+0.4</f>
        <v>3</v>
      </c>
      <c r="G1" s="7">
        <f t="shared" si="0"/>
        <v>3.4</v>
      </c>
      <c r="H1" s="7">
        <f t="shared" si="0"/>
        <v>3.8</v>
      </c>
      <c r="I1" s="8">
        <f t="shared" si="0"/>
        <v>4.2</v>
      </c>
      <c r="J1" s="7">
        <f t="shared" si="0"/>
        <v>4.6000000000000005</v>
      </c>
      <c r="K1" s="7">
        <f t="shared" si="0"/>
        <v>5.0000000000000009</v>
      </c>
      <c r="L1" s="7">
        <f t="shared" si="0"/>
        <v>5.4000000000000012</v>
      </c>
      <c r="M1" s="7">
        <f t="shared" si="0"/>
        <v>5.8000000000000016</v>
      </c>
      <c r="N1" s="7">
        <f t="shared" si="0"/>
        <v>6.200000000000002</v>
      </c>
      <c r="O1" s="7">
        <v>7.2</v>
      </c>
      <c r="P1" s="7">
        <v>8.4</v>
      </c>
    </row>
    <row r="2" spans="1:16" ht="20.149999999999999" customHeight="1" x14ac:dyDescent="0.3">
      <c r="A2" s="7">
        <v>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6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</row>
    <row r="3" spans="1:16" ht="20.149999999999999" customHeight="1" x14ac:dyDescent="0.3">
      <c r="A3" s="7">
        <v>0.4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6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</row>
    <row r="4" spans="1:16" ht="20.149999999999999" customHeight="1" x14ac:dyDescent="0.3">
      <c r="A4" s="7">
        <f t="shared" ref="A4:A13" si="1">A3+0.4</f>
        <v>0.8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6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</row>
    <row r="5" spans="1:16" ht="20.149999999999999" customHeight="1" x14ac:dyDescent="0.3">
      <c r="A5" s="7">
        <f t="shared" si="1"/>
        <v>1.2000000000000002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6">
        <v>0</v>
      </c>
      <c r="J5" s="5">
        <v>0</v>
      </c>
      <c r="K5" s="5">
        <v>0.32600000000000001</v>
      </c>
      <c r="L5" s="5">
        <v>0</v>
      </c>
      <c r="M5" s="5">
        <v>0</v>
      </c>
      <c r="N5" s="5">
        <v>0</v>
      </c>
      <c r="O5" s="5">
        <v>0</v>
      </c>
      <c r="P5" s="5">
        <v>0</v>
      </c>
    </row>
    <row r="6" spans="1:16" ht="20.149999999999999" customHeight="1" x14ac:dyDescent="0.3">
      <c r="A6" s="7">
        <f t="shared" si="1"/>
        <v>1.6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0.59899999999999998</v>
      </c>
      <c r="H6" s="5">
        <v>0.70699999999999996</v>
      </c>
      <c r="I6" s="6">
        <v>0.65600000000000003</v>
      </c>
      <c r="J6" s="5">
        <v>0.65600000000000003</v>
      </c>
      <c r="K6" s="5">
        <v>0.311</v>
      </c>
      <c r="L6" s="5">
        <v>0</v>
      </c>
      <c r="M6" s="5">
        <v>0</v>
      </c>
      <c r="N6" s="5">
        <v>0</v>
      </c>
      <c r="O6" s="5">
        <v>0</v>
      </c>
      <c r="P6" s="5">
        <v>0</v>
      </c>
    </row>
    <row r="7" spans="1:16" ht="20.149999999999999" customHeight="1" x14ac:dyDescent="0.3">
      <c r="A7" s="7">
        <f t="shared" si="1"/>
        <v>2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0.96899999999999997</v>
      </c>
      <c r="H7" s="5">
        <v>1.7889999999999999</v>
      </c>
      <c r="I7" s="6">
        <v>1.9119999999999999</v>
      </c>
      <c r="J7" s="5">
        <v>1.9179999999999999</v>
      </c>
      <c r="K7" s="5">
        <v>0.84199999999999997</v>
      </c>
      <c r="L7" s="5">
        <v>0</v>
      </c>
      <c r="M7" s="5">
        <v>0</v>
      </c>
      <c r="N7" s="5">
        <v>0</v>
      </c>
      <c r="O7" s="5">
        <v>0</v>
      </c>
      <c r="P7" s="5">
        <v>0</v>
      </c>
    </row>
    <row r="8" spans="1:16" ht="20.149999999999999" customHeight="1" x14ac:dyDescent="0.3">
      <c r="A8" s="8">
        <f t="shared" si="1"/>
        <v>2.4</v>
      </c>
      <c r="B8" s="6">
        <v>0</v>
      </c>
      <c r="C8" s="6">
        <v>0</v>
      </c>
      <c r="D8" s="6">
        <v>0</v>
      </c>
      <c r="E8" s="6">
        <v>0</v>
      </c>
      <c r="F8" s="6">
        <v>0.22900000000000001</v>
      </c>
      <c r="G8" s="6">
        <v>0.67200000000000004</v>
      </c>
      <c r="H8" s="6">
        <v>1.9359999999999999</v>
      </c>
      <c r="I8" s="6">
        <v>1.3240000000000001</v>
      </c>
      <c r="J8" s="6">
        <v>2.1030000000000002</v>
      </c>
      <c r="K8" s="6">
        <v>1.3520000000000001</v>
      </c>
      <c r="L8" s="6">
        <v>0.20699999999999999</v>
      </c>
      <c r="M8" s="6">
        <v>0</v>
      </c>
      <c r="N8" s="6">
        <v>0</v>
      </c>
      <c r="O8" s="6">
        <v>0</v>
      </c>
      <c r="P8" s="6">
        <v>0</v>
      </c>
    </row>
    <row r="9" spans="1:16" ht="20.149999999999999" customHeight="1" x14ac:dyDescent="0.3">
      <c r="A9" s="7">
        <f t="shared" si="1"/>
        <v>2.8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0.49</v>
      </c>
      <c r="H9" s="5">
        <v>2.194</v>
      </c>
      <c r="I9" s="6">
        <v>1.6859999999999999</v>
      </c>
      <c r="J9" s="5">
        <v>1.6519999999999999</v>
      </c>
      <c r="K9" s="5">
        <v>0.91300000000000003</v>
      </c>
      <c r="L9" s="5">
        <v>0</v>
      </c>
      <c r="M9" s="5">
        <v>0</v>
      </c>
      <c r="N9" s="5">
        <v>0</v>
      </c>
      <c r="O9" s="5">
        <v>0</v>
      </c>
      <c r="P9" s="5">
        <v>0</v>
      </c>
    </row>
    <row r="10" spans="1:16" ht="20.149999999999999" customHeight="1" x14ac:dyDescent="0.3">
      <c r="A10" s="7">
        <f t="shared" si="1"/>
        <v>3.1999999999999997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0.65100000000000002</v>
      </c>
      <c r="H10" s="5">
        <v>1.1479999999999999</v>
      </c>
      <c r="I10" s="6">
        <v>0.61199999999999999</v>
      </c>
      <c r="J10" s="5">
        <v>0.56699999999999995</v>
      </c>
      <c r="K10" s="5">
        <v>0.39600000000000002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</row>
    <row r="11" spans="1:16" ht="20.149999999999999" customHeight="1" x14ac:dyDescent="0.3">
      <c r="A11" s="7">
        <f t="shared" si="1"/>
        <v>3.5999999999999996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0.192</v>
      </c>
      <c r="H11" s="5">
        <v>0.36299999999999999</v>
      </c>
      <c r="I11" s="6">
        <v>0.29799999999999999</v>
      </c>
      <c r="J11" s="5">
        <v>7.6999999999999999E-2</v>
      </c>
      <c r="K11" s="5">
        <v>0.129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</row>
    <row r="12" spans="1:16" ht="20.149999999999999" customHeight="1" x14ac:dyDescent="0.3">
      <c r="A12" s="7">
        <f t="shared" si="1"/>
        <v>3.9999999999999996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0.108</v>
      </c>
      <c r="I12" s="6">
        <v>0</v>
      </c>
      <c r="J12" s="5">
        <v>0.122</v>
      </c>
      <c r="K12" s="5">
        <v>0.109</v>
      </c>
      <c r="L12" s="5">
        <v>7.6999999999999999E-2</v>
      </c>
      <c r="M12" s="5">
        <v>0</v>
      </c>
      <c r="N12" s="5">
        <v>0</v>
      </c>
      <c r="O12" s="5">
        <v>0</v>
      </c>
      <c r="P12" s="5">
        <v>0</v>
      </c>
    </row>
    <row r="13" spans="1:16" ht="20.149999999999999" customHeight="1" x14ac:dyDescent="0.3">
      <c r="A13" s="7">
        <f t="shared" si="1"/>
        <v>4.3999999999999995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6">
        <v>0</v>
      </c>
      <c r="J13" s="5">
        <v>0</v>
      </c>
      <c r="K13" s="5">
        <v>0</v>
      </c>
      <c r="L13" s="5">
        <v>8.5000000000000006E-2</v>
      </c>
      <c r="M13" s="5">
        <v>0</v>
      </c>
      <c r="N13" s="5">
        <v>0</v>
      </c>
      <c r="O13" s="5">
        <v>0</v>
      </c>
      <c r="P13" s="5">
        <v>0</v>
      </c>
    </row>
    <row r="14" spans="1:16" ht="20.149999999999999" customHeight="1" x14ac:dyDescent="0.3">
      <c r="A14" s="7">
        <v>4.8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6">
        <v>0</v>
      </c>
      <c r="J14" s="5">
        <v>0.221</v>
      </c>
      <c r="K14" s="5">
        <v>0</v>
      </c>
      <c r="L14" s="5">
        <v>0.27100000000000002</v>
      </c>
      <c r="M14" s="5">
        <v>0</v>
      </c>
      <c r="N14" s="5">
        <v>0</v>
      </c>
      <c r="O14" s="5">
        <v>0</v>
      </c>
      <c r="P14" s="5">
        <v>0</v>
      </c>
    </row>
  </sheetData>
  <phoneticPr fontId="1" type="noConversion"/>
  <conditionalFormatting sqref="B2:P1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17D32-54F2-4387-A895-5D6BA9A33ED3}">
  <dimension ref="A1:T33"/>
  <sheetViews>
    <sheetView zoomScale="85" zoomScaleNormal="85" workbookViewId="0">
      <selection activeCell="R34" sqref="R34"/>
    </sheetView>
  </sheetViews>
  <sheetFormatPr defaultColWidth="10.75" defaultRowHeight="15" customHeight="1" x14ac:dyDescent="0.3"/>
  <cols>
    <col min="1" max="16384" width="10.75" style="10"/>
  </cols>
  <sheetData>
    <row r="1" spans="1:20" ht="15" customHeight="1" x14ac:dyDescent="0.3">
      <c r="A1" s="11" t="s">
        <v>62</v>
      </c>
      <c r="B1" s="11" t="s">
        <v>63</v>
      </c>
      <c r="C1" s="11" t="s">
        <v>64</v>
      </c>
      <c r="D1" s="11" t="s">
        <v>65</v>
      </c>
      <c r="E1" s="11" t="s">
        <v>66</v>
      </c>
      <c r="F1" s="11" t="s">
        <v>67</v>
      </c>
      <c r="H1" s="11" t="s">
        <v>62</v>
      </c>
      <c r="I1" s="11" t="s">
        <v>63</v>
      </c>
      <c r="J1" s="11" t="s">
        <v>64</v>
      </c>
      <c r="K1" s="11" t="s">
        <v>65</v>
      </c>
      <c r="L1" s="11" t="s">
        <v>66</v>
      </c>
      <c r="M1" s="11" t="s">
        <v>67</v>
      </c>
      <c r="O1" s="11" t="s">
        <v>62</v>
      </c>
      <c r="P1" s="11" t="s">
        <v>63</v>
      </c>
      <c r="Q1" s="11" t="s">
        <v>64</v>
      </c>
      <c r="R1" s="11" t="s">
        <v>65</v>
      </c>
      <c r="S1" s="11" t="s">
        <v>66</v>
      </c>
      <c r="T1" s="11" t="s">
        <v>67</v>
      </c>
    </row>
    <row r="2" spans="1:20" ht="15" customHeight="1" x14ac:dyDescent="0.3">
      <c r="A2" s="15">
        <v>4.5999999999999996</v>
      </c>
      <c r="B2" s="15">
        <v>2.4</v>
      </c>
      <c r="C2" s="13">
        <v>1</v>
      </c>
      <c r="D2" s="12">
        <v>2.1059999999999999</v>
      </c>
      <c r="E2" s="14">
        <f>AVERAGE(D2:D16)</f>
        <v>2.1026666666666669</v>
      </c>
      <c r="F2" s="14">
        <f>_xlfn.VAR.S(D2:D16)</f>
        <v>4.6354380952380939E-2</v>
      </c>
      <c r="H2" s="15">
        <v>3.8</v>
      </c>
      <c r="I2" s="15">
        <v>2.4</v>
      </c>
      <c r="J2" s="13">
        <v>1</v>
      </c>
      <c r="K2" s="12">
        <v>1.756</v>
      </c>
      <c r="L2" s="14">
        <f>AVERAGE(K2:K16)</f>
        <v>1.9363333333333335</v>
      </c>
      <c r="M2" s="14">
        <f>_xlfn.VAR.S(K2:K16)</f>
        <v>3.3658952380952394E-2</v>
      </c>
      <c r="O2" s="15">
        <v>4.2</v>
      </c>
      <c r="P2" s="15">
        <v>1.6</v>
      </c>
      <c r="Q2" s="13">
        <v>1</v>
      </c>
      <c r="R2" s="12">
        <v>0.92</v>
      </c>
      <c r="S2" s="14">
        <f>AVERAGE(R2:R16)</f>
        <v>0.65593333333333337</v>
      </c>
      <c r="T2" s="14">
        <f>_xlfn.VAR.S(R2:R16)</f>
        <v>2.1483638095238091E-2</v>
      </c>
    </row>
    <row r="3" spans="1:20" ht="15" customHeight="1" x14ac:dyDescent="0.3">
      <c r="A3" s="15"/>
      <c r="B3" s="15"/>
      <c r="C3" s="13">
        <v>2</v>
      </c>
      <c r="D3" s="12">
        <v>1.7390000000000001</v>
      </c>
      <c r="E3" s="14"/>
      <c r="F3" s="14"/>
      <c r="H3" s="15"/>
      <c r="I3" s="15"/>
      <c r="J3" s="13">
        <v>2</v>
      </c>
      <c r="K3" s="12">
        <v>1.8819999999999999</v>
      </c>
      <c r="L3" s="14"/>
      <c r="M3" s="14"/>
      <c r="O3" s="15"/>
      <c r="P3" s="15"/>
      <c r="Q3" s="13">
        <v>2</v>
      </c>
      <c r="R3" s="12">
        <v>0.83299999999999996</v>
      </c>
      <c r="S3" s="14"/>
      <c r="T3" s="14"/>
    </row>
    <row r="4" spans="1:20" ht="15" customHeight="1" x14ac:dyDescent="0.3">
      <c r="A4" s="15"/>
      <c r="B4" s="15"/>
      <c r="C4" s="13">
        <v>3</v>
      </c>
      <c r="D4" s="12">
        <v>2.177</v>
      </c>
      <c r="E4" s="14"/>
      <c r="F4" s="14"/>
      <c r="H4" s="15"/>
      <c r="I4" s="15"/>
      <c r="J4" s="13">
        <v>3</v>
      </c>
      <c r="K4" s="12">
        <v>1.621</v>
      </c>
      <c r="L4" s="14"/>
      <c r="M4" s="14"/>
      <c r="O4" s="15"/>
      <c r="P4" s="15"/>
      <c r="Q4" s="13">
        <v>3</v>
      </c>
      <c r="R4" s="12">
        <v>0.59699999999999998</v>
      </c>
      <c r="S4" s="14"/>
      <c r="T4" s="14"/>
    </row>
    <row r="5" spans="1:20" ht="15" customHeight="1" x14ac:dyDescent="0.3">
      <c r="A5" s="15"/>
      <c r="B5" s="15"/>
      <c r="C5" s="13">
        <v>4</v>
      </c>
      <c r="D5" s="12">
        <v>1.952</v>
      </c>
      <c r="E5" s="14"/>
      <c r="F5" s="14"/>
      <c r="H5" s="15"/>
      <c r="I5" s="15"/>
      <c r="J5" s="13">
        <v>4</v>
      </c>
      <c r="K5" s="12">
        <v>2.194</v>
      </c>
      <c r="L5" s="14"/>
      <c r="M5" s="14"/>
      <c r="O5" s="15"/>
      <c r="P5" s="15"/>
      <c r="Q5" s="13">
        <v>4</v>
      </c>
      <c r="R5" s="12">
        <v>0.71</v>
      </c>
      <c r="S5" s="14"/>
      <c r="T5" s="14"/>
    </row>
    <row r="6" spans="1:20" ht="15" customHeight="1" x14ac:dyDescent="0.3">
      <c r="A6" s="15"/>
      <c r="B6" s="15"/>
      <c r="C6" s="13">
        <v>5</v>
      </c>
      <c r="D6" s="12">
        <v>2.2040000000000002</v>
      </c>
      <c r="E6" s="14"/>
      <c r="F6" s="14"/>
      <c r="H6" s="15"/>
      <c r="I6" s="15"/>
      <c r="J6" s="13">
        <v>5</v>
      </c>
      <c r="K6" s="12">
        <v>2.0129999999999999</v>
      </c>
      <c r="L6" s="14"/>
      <c r="M6" s="14"/>
      <c r="O6" s="15"/>
      <c r="P6" s="15"/>
      <c r="Q6" s="13">
        <v>5</v>
      </c>
      <c r="R6" s="12">
        <v>0.745</v>
      </c>
      <c r="S6" s="14"/>
      <c r="T6" s="14"/>
    </row>
    <row r="7" spans="1:20" ht="15" customHeight="1" x14ac:dyDescent="0.3">
      <c r="A7" s="15"/>
      <c r="B7" s="15"/>
      <c r="C7" s="13">
        <v>6</v>
      </c>
      <c r="D7" s="12">
        <v>1.913</v>
      </c>
      <c r="E7" s="14"/>
      <c r="F7" s="14"/>
      <c r="H7" s="15"/>
      <c r="I7" s="15"/>
      <c r="J7" s="13">
        <v>6</v>
      </c>
      <c r="K7" s="12">
        <v>1.756</v>
      </c>
      <c r="L7" s="14"/>
      <c r="M7" s="14"/>
      <c r="O7" s="15"/>
      <c r="P7" s="15"/>
      <c r="Q7" s="13">
        <v>6</v>
      </c>
      <c r="R7" s="12">
        <v>0.63500000000000001</v>
      </c>
      <c r="S7" s="14"/>
      <c r="T7" s="14"/>
    </row>
    <row r="8" spans="1:20" ht="15" customHeight="1" x14ac:dyDescent="0.3">
      <c r="A8" s="15"/>
      <c r="B8" s="15"/>
      <c r="C8" s="13">
        <v>7</v>
      </c>
      <c r="D8" s="12">
        <v>1.9850000000000001</v>
      </c>
      <c r="E8" s="14"/>
      <c r="F8" s="14"/>
      <c r="H8" s="15"/>
      <c r="I8" s="15"/>
      <c r="J8" s="13">
        <v>7</v>
      </c>
      <c r="K8" s="12">
        <v>2.0630000000000002</v>
      </c>
      <c r="L8" s="14"/>
      <c r="M8" s="14"/>
      <c r="O8" s="15"/>
      <c r="P8" s="15"/>
      <c r="Q8" s="13">
        <v>7</v>
      </c>
      <c r="R8" s="12">
        <v>0.69699999999999995</v>
      </c>
      <c r="S8" s="14"/>
      <c r="T8" s="14"/>
    </row>
    <row r="9" spans="1:20" ht="15" customHeight="1" x14ac:dyDescent="0.3">
      <c r="A9" s="15"/>
      <c r="B9" s="15"/>
      <c r="C9" s="13">
        <v>8</v>
      </c>
      <c r="D9" s="12">
        <v>1.873</v>
      </c>
      <c r="E9" s="14"/>
      <c r="F9" s="14"/>
      <c r="H9" s="15"/>
      <c r="I9" s="15"/>
      <c r="J9" s="13">
        <v>8</v>
      </c>
      <c r="K9" s="12">
        <v>1.851</v>
      </c>
      <c r="L9" s="14"/>
      <c r="M9" s="14"/>
      <c r="O9" s="15"/>
      <c r="P9" s="15"/>
      <c r="Q9" s="13">
        <v>8</v>
      </c>
      <c r="R9" s="12">
        <v>0.61499999999999999</v>
      </c>
      <c r="S9" s="14"/>
      <c r="T9" s="14"/>
    </row>
    <row r="10" spans="1:20" ht="15" customHeight="1" x14ac:dyDescent="0.3">
      <c r="A10" s="15"/>
      <c r="B10" s="15"/>
      <c r="C10" s="13">
        <v>9</v>
      </c>
      <c r="D10" s="12">
        <v>2.0840000000000001</v>
      </c>
      <c r="E10" s="14"/>
      <c r="F10" s="14"/>
      <c r="H10" s="15"/>
      <c r="I10" s="15"/>
      <c r="J10" s="13">
        <v>9</v>
      </c>
      <c r="K10" s="12">
        <v>2.1440000000000001</v>
      </c>
      <c r="L10" s="14"/>
      <c r="M10" s="14"/>
      <c r="O10" s="15"/>
      <c r="P10" s="15"/>
      <c r="Q10" s="13">
        <v>9</v>
      </c>
      <c r="R10" s="12">
        <v>0.64</v>
      </c>
      <c r="S10" s="14"/>
      <c r="T10" s="14"/>
    </row>
    <row r="11" spans="1:20" ht="15" customHeight="1" x14ac:dyDescent="0.3">
      <c r="A11" s="15"/>
      <c r="B11" s="15"/>
      <c r="C11" s="13">
        <v>10</v>
      </c>
      <c r="D11" s="12">
        <v>2.331</v>
      </c>
      <c r="E11" s="14"/>
      <c r="F11" s="14"/>
      <c r="H11" s="15"/>
      <c r="I11" s="15"/>
      <c r="J11" s="13">
        <v>10</v>
      </c>
      <c r="K11" s="12">
        <v>2.08</v>
      </c>
      <c r="L11" s="14"/>
      <c r="M11" s="14"/>
      <c r="O11" s="15"/>
      <c r="P11" s="15"/>
      <c r="Q11" s="13">
        <v>10</v>
      </c>
      <c r="R11" s="12">
        <v>0.60799999999999998</v>
      </c>
      <c r="S11" s="14"/>
      <c r="T11" s="14"/>
    </row>
    <row r="12" spans="1:20" ht="15" customHeight="1" x14ac:dyDescent="0.3">
      <c r="A12" s="15"/>
      <c r="B12" s="15"/>
      <c r="C12" s="13">
        <v>11</v>
      </c>
      <c r="D12" s="12">
        <v>1.8959999999999999</v>
      </c>
      <c r="E12" s="14"/>
      <c r="F12" s="14"/>
      <c r="H12" s="15"/>
      <c r="I12" s="15"/>
      <c r="J12" s="13">
        <v>11</v>
      </c>
      <c r="K12" s="12">
        <v>1.6970000000000001</v>
      </c>
      <c r="L12" s="14"/>
      <c r="M12" s="14"/>
      <c r="O12" s="15"/>
      <c r="P12" s="15"/>
      <c r="Q12" s="13">
        <v>11</v>
      </c>
      <c r="R12" s="12">
        <v>0.77800000000000002</v>
      </c>
      <c r="S12" s="14"/>
      <c r="T12" s="14"/>
    </row>
    <row r="13" spans="1:20" ht="15" customHeight="1" x14ac:dyDescent="0.3">
      <c r="A13" s="15"/>
      <c r="B13" s="15"/>
      <c r="C13" s="13">
        <v>12</v>
      </c>
      <c r="D13" s="12">
        <v>2.5129999999999999</v>
      </c>
      <c r="E13" s="14"/>
      <c r="F13" s="14"/>
      <c r="H13" s="15"/>
      <c r="I13" s="15"/>
      <c r="J13" s="13">
        <v>12</v>
      </c>
      <c r="K13" s="12">
        <v>1.8340000000000001</v>
      </c>
      <c r="L13" s="14"/>
      <c r="M13" s="14"/>
      <c r="O13" s="15"/>
      <c r="P13" s="15"/>
      <c r="Q13" s="13">
        <v>12</v>
      </c>
      <c r="R13" s="12">
        <v>0.41499999999999998</v>
      </c>
      <c r="S13" s="14"/>
      <c r="T13" s="14"/>
    </row>
    <row r="14" spans="1:20" ht="15" customHeight="1" x14ac:dyDescent="0.3">
      <c r="A14" s="15"/>
      <c r="B14" s="15"/>
      <c r="C14" s="13">
        <v>13</v>
      </c>
      <c r="D14" s="12">
        <v>2.1349999999999998</v>
      </c>
      <c r="E14" s="14"/>
      <c r="F14" s="14"/>
      <c r="H14" s="15"/>
      <c r="I14" s="15"/>
      <c r="J14" s="13">
        <v>13</v>
      </c>
      <c r="K14" s="12">
        <v>2.0070000000000001</v>
      </c>
      <c r="L14" s="14"/>
      <c r="M14" s="14"/>
      <c r="O14" s="15"/>
      <c r="P14" s="15"/>
      <c r="Q14" s="13">
        <v>13</v>
      </c>
      <c r="R14" s="12">
        <v>0.33600000000000002</v>
      </c>
      <c r="S14" s="14"/>
      <c r="T14" s="14"/>
    </row>
    <row r="15" spans="1:20" ht="15" customHeight="1" x14ac:dyDescent="0.3">
      <c r="A15" s="15"/>
      <c r="B15" s="15"/>
      <c r="C15" s="13">
        <v>14</v>
      </c>
      <c r="D15" s="12">
        <v>2.2160000000000002</v>
      </c>
      <c r="E15" s="14"/>
      <c r="F15" s="14"/>
      <c r="H15" s="15"/>
      <c r="I15" s="15"/>
      <c r="J15" s="13">
        <v>14</v>
      </c>
      <c r="K15" s="12">
        <v>1.9430000000000001</v>
      </c>
      <c r="L15" s="14"/>
      <c r="M15" s="14"/>
      <c r="O15" s="15"/>
      <c r="P15" s="15"/>
      <c r="Q15" s="13">
        <v>14</v>
      </c>
      <c r="R15" s="12">
        <v>0.61199999999999999</v>
      </c>
      <c r="S15" s="14"/>
      <c r="T15" s="14"/>
    </row>
    <row r="16" spans="1:20" ht="15" customHeight="1" x14ac:dyDescent="0.3">
      <c r="A16" s="15"/>
      <c r="B16" s="15"/>
      <c r="C16" s="13">
        <v>15</v>
      </c>
      <c r="D16" s="12">
        <v>2.4159999999999999</v>
      </c>
      <c r="E16" s="14"/>
      <c r="F16" s="14"/>
      <c r="H16" s="15"/>
      <c r="I16" s="15"/>
      <c r="J16" s="13">
        <v>15</v>
      </c>
      <c r="K16" s="12">
        <v>2.2040000000000002</v>
      </c>
      <c r="L16" s="14"/>
      <c r="M16" s="14"/>
      <c r="O16" s="15"/>
      <c r="P16" s="15"/>
      <c r="Q16" s="13">
        <v>15</v>
      </c>
      <c r="R16" s="12">
        <v>0.69799999999999995</v>
      </c>
      <c r="S16" s="14"/>
      <c r="T16" s="14"/>
    </row>
    <row r="18" spans="1:20" ht="15" customHeight="1" x14ac:dyDescent="0.3">
      <c r="A18" s="11" t="s">
        <v>62</v>
      </c>
      <c r="B18" s="11" t="s">
        <v>63</v>
      </c>
      <c r="C18" s="11" t="s">
        <v>64</v>
      </c>
      <c r="D18" s="11" t="s">
        <v>65</v>
      </c>
      <c r="E18" s="11" t="s">
        <v>66</v>
      </c>
      <c r="F18" s="11" t="s">
        <v>67</v>
      </c>
      <c r="H18" s="11" t="s">
        <v>62</v>
      </c>
      <c r="I18" s="11" t="s">
        <v>63</v>
      </c>
      <c r="J18" s="11" t="s">
        <v>64</v>
      </c>
      <c r="K18" s="11" t="s">
        <v>65</v>
      </c>
      <c r="L18" s="11" t="s">
        <v>66</v>
      </c>
      <c r="M18" s="11" t="s">
        <v>67</v>
      </c>
      <c r="O18" s="11" t="s">
        <v>62</v>
      </c>
      <c r="P18" s="11" t="s">
        <v>63</v>
      </c>
      <c r="Q18" s="11" t="s">
        <v>64</v>
      </c>
      <c r="R18" s="11" t="s">
        <v>65</v>
      </c>
      <c r="S18" s="11" t="s">
        <v>66</v>
      </c>
      <c r="T18" s="11" t="s">
        <v>67</v>
      </c>
    </row>
    <row r="19" spans="1:20" ht="15" customHeight="1" x14ac:dyDescent="0.3">
      <c r="A19" s="15">
        <v>3.8</v>
      </c>
      <c r="B19" s="15">
        <v>3.2</v>
      </c>
      <c r="C19" s="13">
        <v>1</v>
      </c>
      <c r="D19" s="12">
        <v>1.4079999999999999</v>
      </c>
      <c r="E19" s="14">
        <f>AVERAGE(D19:D33)</f>
        <v>1.1478666666666666</v>
      </c>
      <c r="F19" s="14">
        <f>_xlfn.VAR.S(D19:D33)</f>
        <v>8.5596123809523819E-2</v>
      </c>
      <c r="H19" s="15">
        <v>5.4</v>
      </c>
      <c r="I19" s="15">
        <v>2.8</v>
      </c>
      <c r="J19" s="13">
        <v>1</v>
      </c>
      <c r="K19" s="12">
        <v>0</v>
      </c>
      <c r="L19" s="14">
        <f>AVERAGE(K19:K33)</f>
        <v>0</v>
      </c>
      <c r="M19" s="14">
        <f>_xlfn.VAR.S(K19:K33)</f>
        <v>0</v>
      </c>
      <c r="O19" s="15">
        <v>5</v>
      </c>
      <c r="P19" s="15">
        <v>1.2</v>
      </c>
      <c r="Q19" s="13">
        <v>1</v>
      </c>
      <c r="R19" s="12">
        <v>0.30099999999999999</v>
      </c>
      <c r="S19" s="14">
        <f>AVERAGE(R19:R33)</f>
        <v>0.32573333333333332</v>
      </c>
      <c r="T19" s="14">
        <f>_xlfn.VAR.S(R19:R33)</f>
        <v>8.9683523809523935E-3</v>
      </c>
    </row>
    <row r="20" spans="1:20" ht="15" customHeight="1" x14ac:dyDescent="0.3">
      <c r="A20" s="15"/>
      <c r="B20" s="15"/>
      <c r="C20" s="13">
        <v>2</v>
      </c>
      <c r="D20" s="12">
        <v>1.042</v>
      </c>
      <c r="E20" s="14"/>
      <c r="F20" s="14"/>
      <c r="H20" s="15"/>
      <c r="I20" s="15"/>
      <c r="J20" s="13">
        <v>2</v>
      </c>
      <c r="K20" s="12">
        <v>0</v>
      </c>
      <c r="L20" s="14"/>
      <c r="M20" s="14"/>
      <c r="O20" s="15"/>
      <c r="P20" s="15"/>
      <c r="Q20" s="13">
        <v>2</v>
      </c>
      <c r="R20" s="12">
        <v>0.34399999999999997</v>
      </c>
      <c r="S20" s="14"/>
      <c r="T20" s="14"/>
    </row>
    <row r="21" spans="1:20" ht="15" customHeight="1" x14ac:dyDescent="0.3">
      <c r="A21" s="15"/>
      <c r="B21" s="15"/>
      <c r="C21" s="13">
        <v>3</v>
      </c>
      <c r="D21" s="12">
        <v>1.0069999999999999</v>
      </c>
      <c r="E21" s="14"/>
      <c r="F21" s="14"/>
      <c r="H21" s="15"/>
      <c r="I21" s="15"/>
      <c r="J21" s="13">
        <v>3</v>
      </c>
      <c r="K21" s="12">
        <v>0</v>
      </c>
      <c r="L21" s="14"/>
      <c r="M21" s="14"/>
      <c r="O21" s="15"/>
      <c r="P21" s="15"/>
      <c r="Q21" s="13">
        <v>3</v>
      </c>
      <c r="R21" s="12">
        <v>0.46700000000000003</v>
      </c>
      <c r="S21" s="14"/>
      <c r="T21" s="14"/>
    </row>
    <row r="22" spans="1:20" ht="15" customHeight="1" x14ac:dyDescent="0.3">
      <c r="A22" s="15"/>
      <c r="B22" s="15"/>
      <c r="C22" s="13">
        <v>4</v>
      </c>
      <c r="D22" s="12">
        <v>0.91300000000000003</v>
      </c>
      <c r="E22" s="14"/>
      <c r="F22" s="14"/>
      <c r="H22" s="15"/>
      <c r="I22" s="15"/>
      <c r="J22" s="13">
        <v>4</v>
      </c>
      <c r="K22" s="12">
        <v>0</v>
      </c>
      <c r="L22" s="14"/>
      <c r="M22" s="14"/>
      <c r="O22" s="15"/>
      <c r="P22" s="15"/>
      <c r="Q22" s="13">
        <v>4</v>
      </c>
      <c r="R22" s="12">
        <v>0.46400000000000002</v>
      </c>
      <c r="S22" s="14"/>
      <c r="T22" s="14"/>
    </row>
    <row r="23" spans="1:20" ht="15" customHeight="1" x14ac:dyDescent="0.3">
      <c r="A23" s="15"/>
      <c r="B23" s="15"/>
      <c r="C23" s="13">
        <v>5</v>
      </c>
      <c r="D23" s="12">
        <v>0.74399999999999999</v>
      </c>
      <c r="E23" s="14"/>
      <c r="F23" s="14"/>
      <c r="H23" s="15"/>
      <c r="I23" s="15"/>
      <c r="J23" s="13">
        <v>5</v>
      </c>
      <c r="K23" s="12">
        <v>0</v>
      </c>
      <c r="L23" s="14"/>
      <c r="M23" s="14"/>
      <c r="O23" s="15"/>
      <c r="P23" s="15"/>
      <c r="Q23" s="13">
        <v>5</v>
      </c>
      <c r="R23" s="12">
        <v>0.45800000000000002</v>
      </c>
      <c r="S23" s="14"/>
      <c r="T23" s="14"/>
    </row>
    <row r="24" spans="1:20" ht="15" customHeight="1" x14ac:dyDescent="0.3">
      <c r="A24" s="15"/>
      <c r="B24" s="15"/>
      <c r="C24" s="13">
        <v>6</v>
      </c>
      <c r="D24" s="12">
        <v>0.72199999999999998</v>
      </c>
      <c r="E24" s="14"/>
      <c r="F24" s="14"/>
      <c r="H24" s="15"/>
      <c r="I24" s="15"/>
      <c r="J24" s="13">
        <v>6</v>
      </c>
      <c r="K24" s="12">
        <v>0</v>
      </c>
      <c r="L24" s="14"/>
      <c r="M24" s="14"/>
      <c r="O24" s="15"/>
      <c r="P24" s="15"/>
      <c r="Q24" s="13">
        <v>6</v>
      </c>
      <c r="R24" s="12">
        <v>0.25</v>
      </c>
      <c r="S24" s="14"/>
      <c r="T24" s="14"/>
    </row>
    <row r="25" spans="1:20" ht="15" customHeight="1" x14ac:dyDescent="0.3">
      <c r="A25" s="15"/>
      <c r="B25" s="15"/>
      <c r="C25" s="13">
        <v>7</v>
      </c>
      <c r="D25" s="12">
        <v>1.1539999999999999</v>
      </c>
      <c r="E25" s="14"/>
      <c r="F25" s="14"/>
      <c r="H25" s="15"/>
      <c r="I25" s="15"/>
      <c r="J25" s="13">
        <v>7</v>
      </c>
      <c r="K25" s="12">
        <v>0</v>
      </c>
      <c r="L25" s="14"/>
      <c r="M25" s="14"/>
      <c r="O25" s="15"/>
      <c r="P25" s="15"/>
      <c r="Q25" s="13">
        <v>7</v>
      </c>
      <c r="R25" s="12">
        <v>0.19500000000000001</v>
      </c>
      <c r="S25" s="14"/>
      <c r="T25" s="14"/>
    </row>
    <row r="26" spans="1:20" ht="15" customHeight="1" x14ac:dyDescent="0.3">
      <c r="A26" s="15"/>
      <c r="B26" s="15"/>
      <c r="C26" s="13">
        <v>8</v>
      </c>
      <c r="D26" s="12">
        <v>1.0489999999999999</v>
      </c>
      <c r="E26" s="14"/>
      <c r="F26" s="14"/>
      <c r="H26" s="15"/>
      <c r="I26" s="15"/>
      <c r="J26" s="13">
        <v>8</v>
      </c>
      <c r="K26" s="12">
        <v>0</v>
      </c>
      <c r="L26" s="14"/>
      <c r="M26" s="14"/>
      <c r="O26" s="15"/>
      <c r="P26" s="15"/>
      <c r="Q26" s="13">
        <v>8</v>
      </c>
      <c r="R26" s="12">
        <v>0.186</v>
      </c>
      <c r="S26" s="14"/>
      <c r="T26" s="14"/>
    </row>
    <row r="27" spans="1:20" ht="15" customHeight="1" x14ac:dyDescent="0.3">
      <c r="A27" s="15"/>
      <c r="B27" s="15"/>
      <c r="C27" s="13">
        <v>9</v>
      </c>
      <c r="D27" s="12">
        <v>1.075</v>
      </c>
      <c r="E27" s="14"/>
      <c r="F27" s="14"/>
      <c r="H27" s="15"/>
      <c r="I27" s="15"/>
      <c r="J27" s="13">
        <v>9</v>
      </c>
      <c r="K27" s="12">
        <v>0</v>
      </c>
      <c r="L27" s="14"/>
      <c r="M27" s="14"/>
      <c r="O27" s="15"/>
      <c r="P27" s="15"/>
      <c r="Q27" s="13">
        <v>9</v>
      </c>
      <c r="R27" s="12">
        <v>0.20599999999999999</v>
      </c>
      <c r="S27" s="14"/>
      <c r="T27" s="14"/>
    </row>
    <row r="28" spans="1:20" ht="15" customHeight="1" x14ac:dyDescent="0.3">
      <c r="A28" s="15"/>
      <c r="B28" s="15"/>
      <c r="C28" s="13">
        <v>10</v>
      </c>
      <c r="D28" s="12">
        <v>0.95499999999999996</v>
      </c>
      <c r="E28" s="14"/>
      <c r="F28" s="14"/>
      <c r="H28" s="15"/>
      <c r="I28" s="15"/>
      <c r="J28" s="13">
        <v>10</v>
      </c>
      <c r="K28" s="12">
        <v>0</v>
      </c>
      <c r="L28" s="14"/>
      <c r="M28" s="14"/>
      <c r="O28" s="15"/>
      <c r="P28" s="15"/>
      <c r="Q28" s="13">
        <v>10</v>
      </c>
      <c r="R28" s="12">
        <v>0.308</v>
      </c>
      <c r="S28" s="14"/>
      <c r="T28" s="14"/>
    </row>
    <row r="29" spans="1:20" ht="15" customHeight="1" x14ac:dyDescent="0.3">
      <c r="A29" s="15"/>
      <c r="B29" s="15"/>
      <c r="C29" s="13">
        <v>11</v>
      </c>
      <c r="D29" s="12">
        <v>1.038</v>
      </c>
      <c r="E29" s="14"/>
      <c r="F29" s="14"/>
      <c r="H29" s="15"/>
      <c r="I29" s="15"/>
      <c r="J29" s="13">
        <v>11</v>
      </c>
      <c r="K29" s="12">
        <v>0</v>
      </c>
      <c r="L29" s="14"/>
      <c r="M29" s="14"/>
      <c r="O29" s="15"/>
      <c r="P29" s="15"/>
      <c r="Q29" s="13">
        <v>11</v>
      </c>
      <c r="R29" s="12">
        <v>0.25800000000000001</v>
      </c>
      <c r="S29" s="14"/>
      <c r="T29" s="14"/>
    </row>
    <row r="30" spans="1:20" ht="15" customHeight="1" x14ac:dyDescent="0.3">
      <c r="A30" s="15"/>
      <c r="B30" s="15"/>
      <c r="C30" s="13">
        <v>12</v>
      </c>
      <c r="D30" s="12">
        <v>1.6259999999999999</v>
      </c>
      <c r="E30" s="14"/>
      <c r="F30" s="14"/>
      <c r="H30" s="15"/>
      <c r="I30" s="15"/>
      <c r="J30" s="13">
        <v>12</v>
      </c>
      <c r="K30" s="12">
        <v>0</v>
      </c>
      <c r="L30" s="14"/>
      <c r="M30" s="14"/>
      <c r="O30" s="15"/>
      <c r="P30" s="15"/>
      <c r="Q30" s="13">
        <v>12</v>
      </c>
      <c r="R30" s="12">
        <v>0.38300000000000001</v>
      </c>
      <c r="S30" s="14"/>
      <c r="T30" s="14"/>
    </row>
    <row r="31" spans="1:20" ht="15" customHeight="1" x14ac:dyDescent="0.3">
      <c r="A31" s="15"/>
      <c r="B31" s="15"/>
      <c r="C31" s="13">
        <v>13</v>
      </c>
      <c r="D31" s="12">
        <v>1.669</v>
      </c>
      <c r="E31" s="14"/>
      <c r="F31" s="14"/>
      <c r="H31" s="15"/>
      <c r="I31" s="15"/>
      <c r="J31" s="13">
        <v>13</v>
      </c>
      <c r="K31" s="12">
        <v>0</v>
      </c>
      <c r="L31" s="14"/>
      <c r="M31" s="14"/>
      <c r="O31" s="15"/>
      <c r="P31" s="15"/>
      <c r="Q31" s="13">
        <v>13</v>
      </c>
      <c r="R31" s="12">
        <v>0.36899999999999999</v>
      </c>
      <c r="S31" s="14"/>
      <c r="T31" s="14"/>
    </row>
    <row r="32" spans="1:20" ht="15" customHeight="1" x14ac:dyDescent="0.3">
      <c r="A32" s="15"/>
      <c r="B32" s="15"/>
      <c r="C32" s="13">
        <v>14</v>
      </c>
      <c r="D32" s="12">
        <v>1.4019999999999999</v>
      </c>
      <c r="E32" s="14"/>
      <c r="F32" s="14"/>
      <c r="H32" s="15"/>
      <c r="I32" s="15"/>
      <c r="J32" s="13">
        <v>14</v>
      </c>
      <c r="K32" s="12">
        <v>0</v>
      </c>
      <c r="L32" s="14"/>
      <c r="M32" s="14"/>
      <c r="O32" s="15"/>
      <c r="P32" s="15"/>
      <c r="Q32" s="13">
        <v>14</v>
      </c>
      <c r="R32" s="12">
        <v>0.33700000000000002</v>
      </c>
      <c r="S32" s="14"/>
      <c r="T32" s="14"/>
    </row>
    <row r="33" spans="1:20" ht="15" customHeight="1" x14ac:dyDescent="0.3">
      <c r="A33" s="15"/>
      <c r="B33" s="15"/>
      <c r="C33" s="13">
        <v>15</v>
      </c>
      <c r="D33" s="12">
        <v>1.4139999999999999</v>
      </c>
      <c r="E33" s="14"/>
      <c r="F33" s="14"/>
      <c r="H33" s="15"/>
      <c r="I33" s="15"/>
      <c r="J33" s="13">
        <v>15</v>
      </c>
      <c r="K33" s="12">
        <v>0</v>
      </c>
      <c r="L33" s="14"/>
      <c r="M33" s="14"/>
      <c r="O33" s="15"/>
      <c r="P33" s="15"/>
      <c r="Q33" s="13">
        <v>15</v>
      </c>
      <c r="R33" s="12">
        <v>0.36</v>
      </c>
      <c r="S33" s="14"/>
      <c r="T33" s="14"/>
    </row>
  </sheetData>
  <mergeCells count="24">
    <mergeCell ref="T19:T33"/>
    <mergeCell ref="A19:A33"/>
    <mergeCell ref="B19:B33"/>
    <mergeCell ref="E19:E33"/>
    <mergeCell ref="F19:F33"/>
    <mergeCell ref="H19:H33"/>
    <mergeCell ref="I19:I33"/>
    <mergeCell ref="L19:L33"/>
    <mergeCell ref="M19:M33"/>
    <mergeCell ref="O19:O33"/>
    <mergeCell ref="P19:P33"/>
    <mergeCell ref="S19:S33"/>
    <mergeCell ref="T2:T16"/>
    <mergeCell ref="A2:A16"/>
    <mergeCell ref="B2:B16"/>
    <mergeCell ref="E2:E16"/>
    <mergeCell ref="F2:F16"/>
    <mergeCell ref="H2:H16"/>
    <mergeCell ref="I2:I16"/>
    <mergeCell ref="L2:L16"/>
    <mergeCell ref="M2:M16"/>
    <mergeCell ref="O2:O16"/>
    <mergeCell ref="P2:P16"/>
    <mergeCell ref="S2:S16"/>
  </mergeCells>
  <phoneticPr fontId="1" type="noConversion"/>
  <conditionalFormatting sqref="D2:D16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D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1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DB6F0-25DA-49C7-AEA3-B5DB1388556C}">
  <dimension ref="A1:T35"/>
  <sheetViews>
    <sheetView zoomScale="70" zoomScaleNormal="70" workbookViewId="0">
      <selection activeCell="U16" sqref="U16"/>
    </sheetView>
  </sheetViews>
  <sheetFormatPr defaultColWidth="10.75" defaultRowHeight="15" customHeight="1" x14ac:dyDescent="0.3"/>
  <cols>
    <col min="1" max="16384" width="10.75" style="10"/>
  </cols>
  <sheetData>
    <row r="1" spans="1:20" ht="15" customHeight="1" x14ac:dyDescent="0.3">
      <c r="A1" s="11" t="s">
        <v>62</v>
      </c>
      <c r="B1" s="11" t="s">
        <v>63</v>
      </c>
      <c r="C1" s="11" t="s">
        <v>64</v>
      </c>
      <c r="D1" s="11" t="s">
        <v>65</v>
      </c>
      <c r="E1" s="11" t="s">
        <v>66</v>
      </c>
      <c r="F1" s="11" t="s">
        <v>67</v>
      </c>
      <c r="H1" s="11" t="s">
        <v>62</v>
      </c>
      <c r="I1" s="11" t="s">
        <v>63</v>
      </c>
      <c r="J1" s="11" t="s">
        <v>64</v>
      </c>
      <c r="K1" s="11" t="s">
        <v>65</v>
      </c>
      <c r="L1" s="11" t="s">
        <v>66</v>
      </c>
      <c r="M1" s="11" t="s">
        <v>67</v>
      </c>
      <c r="O1" s="11" t="s">
        <v>62</v>
      </c>
      <c r="P1" s="11" t="s">
        <v>63</v>
      </c>
      <c r="Q1" s="11" t="s">
        <v>64</v>
      </c>
      <c r="R1" s="11" t="s">
        <v>65</v>
      </c>
      <c r="S1" s="11" t="s">
        <v>66</v>
      </c>
      <c r="T1" s="11" t="s">
        <v>67</v>
      </c>
    </row>
    <row r="2" spans="1:20" ht="15" customHeight="1" x14ac:dyDescent="0.3">
      <c r="A2" s="15">
        <v>4.5999999999999996</v>
      </c>
      <c r="B2" s="15">
        <v>2.4</v>
      </c>
      <c r="C2" s="13">
        <v>1</v>
      </c>
      <c r="D2" s="12">
        <v>1.9910000000000001</v>
      </c>
      <c r="E2" s="14">
        <f>AVERAGE(D2:D16)</f>
        <v>1.781533333333333</v>
      </c>
      <c r="F2" s="14">
        <f>_xlfn.VAR.S(D2:D16)</f>
        <v>3.8045695238096248E-2</v>
      </c>
      <c r="H2" s="15">
        <v>3.8</v>
      </c>
      <c r="I2" s="15">
        <v>2.4</v>
      </c>
      <c r="J2" s="13">
        <v>1</v>
      </c>
      <c r="K2" s="12">
        <v>1.397</v>
      </c>
      <c r="L2" s="14">
        <f>AVERAGE(K2:K16)</f>
        <v>1.4002000000000001</v>
      </c>
      <c r="M2" s="14">
        <f>_xlfn.VAR.S(K2:K16)</f>
        <v>1.4101028571428574E-2</v>
      </c>
      <c r="O2" s="15">
        <v>4.2</v>
      </c>
      <c r="P2" s="15">
        <v>1.6</v>
      </c>
      <c r="Q2" s="13">
        <v>1</v>
      </c>
      <c r="R2" s="12">
        <v>0.111</v>
      </c>
      <c r="S2" s="14">
        <f>AVERAGE(R2:R16)</f>
        <v>8.7066666666666667E-2</v>
      </c>
      <c r="T2" s="14">
        <f>_xlfn.VAR.S(R2:R16)</f>
        <v>2.9839238095238077E-3</v>
      </c>
    </row>
    <row r="3" spans="1:20" ht="15" customHeight="1" x14ac:dyDescent="0.3">
      <c r="A3" s="15"/>
      <c r="B3" s="15"/>
      <c r="C3" s="13">
        <v>2</v>
      </c>
      <c r="D3" s="12">
        <v>1.865</v>
      </c>
      <c r="E3" s="14"/>
      <c r="F3" s="14"/>
      <c r="H3" s="15"/>
      <c r="I3" s="15"/>
      <c r="J3" s="13">
        <v>2</v>
      </c>
      <c r="K3" s="12">
        <v>1.2569999999999999</v>
      </c>
      <c r="L3" s="14"/>
      <c r="M3" s="14"/>
      <c r="O3" s="15"/>
      <c r="P3" s="15"/>
      <c r="Q3" s="13">
        <v>2</v>
      </c>
      <c r="R3" s="12">
        <v>8.4000000000000005E-2</v>
      </c>
      <c r="S3" s="14"/>
      <c r="T3" s="14"/>
    </row>
    <row r="4" spans="1:20" ht="15" customHeight="1" x14ac:dyDescent="0.3">
      <c r="A4" s="15"/>
      <c r="B4" s="15"/>
      <c r="C4" s="13">
        <v>3</v>
      </c>
      <c r="D4" s="12">
        <v>1.843</v>
      </c>
      <c r="E4" s="14"/>
      <c r="F4" s="14"/>
      <c r="H4" s="15"/>
      <c r="I4" s="15"/>
      <c r="J4" s="13">
        <v>3</v>
      </c>
      <c r="K4" s="12">
        <v>1.504</v>
      </c>
      <c r="L4" s="14"/>
      <c r="M4" s="14"/>
      <c r="O4" s="15"/>
      <c r="P4" s="15"/>
      <c r="Q4" s="13">
        <v>3</v>
      </c>
      <c r="R4" s="12">
        <v>0.122</v>
      </c>
      <c r="S4" s="14"/>
      <c r="T4" s="14"/>
    </row>
    <row r="5" spans="1:20" ht="15" customHeight="1" x14ac:dyDescent="0.3">
      <c r="A5" s="15"/>
      <c r="B5" s="15"/>
      <c r="C5" s="13">
        <v>4</v>
      </c>
      <c r="D5" s="12">
        <v>1.764</v>
      </c>
      <c r="E5" s="14"/>
      <c r="F5" s="14"/>
      <c r="H5" s="15"/>
      <c r="I5" s="15"/>
      <c r="J5" s="13">
        <v>4</v>
      </c>
      <c r="K5" s="12">
        <v>1.4219999999999999</v>
      </c>
      <c r="L5" s="14"/>
      <c r="M5" s="14"/>
      <c r="O5" s="15"/>
      <c r="P5" s="15"/>
      <c r="Q5" s="13">
        <v>4</v>
      </c>
      <c r="R5" s="12">
        <v>6.8000000000000005E-2</v>
      </c>
      <c r="S5" s="14"/>
      <c r="T5" s="14"/>
    </row>
    <row r="6" spans="1:20" ht="15" customHeight="1" x14ac:dyDescent="0.3">
      <c r="A6" s="15"/>
      <c r="B6" s="15"/>
      <c r="C6" s="13">
        <v>5</v>
      </c>
      <c r="D6" s="12">
        <v>1.7110000000000001</v>
      </c>
      <c r="E6" s="14"/>
      <c r="F6" s="14"/>
      <c r="H6" s="15"/>
      <c r="I6" s="15"/>
      <c r="J6" s="13">
        <v>5</v>
      </c>
      <c r="K6" s="12">
        <v>1.45</v>
      </c>
      <c r="L6" s="14"/>
      <c r="M6" s="14"/>
      <c r="O6" s="15"/>
      <c r="P6" s="15"/>
      <c r="Q6" s="13">
        <v>5</v>
      </c>
      <c r="R6" s="12">
        <v>0.16800000000000001</v>
      </c>
      <c r="S6" s="14"/>
      <c r="T6" s="14"/>
    </row>
    <row r="7" spans="1:20" ht="15" customHeight="1" x14ac:dyDescent="0.3">
      <c r="A7" s="15"/>
      <c r="B7" s="15"/>
      <c r="C7" s="13">
        <v>6</v>
      </c>
      <c r="D7" s="12">
        <v>1.96</v>
      </c>
      <c r="E7" s="14"/>
      <c r="F7" s="14"/>
      <c r="H7" s="15"/>
      <c r="I7" s="15"/>
      <c r="J7" s="13">
        <v>6</v>
      </c>
      <c r="K7" s="12">
        <v>1.3879999999999999</v>
      </c>
      <c r="L7" s="14"/>
      <c r="M7" s="14"/>
      <c r="O7" s="15"/>
      <c r="P7" s="15"/>
      <c r="Q7" s="13">
        <v>6</v>
      </c>
      <c r="R7" s="12">
        <v>0.08</v>
      </c>
      <c r="S7" s="14"/>
      <c r="T7" s="14"/>
    </row>
    <row r="8" spans="1:20" ht="15" customHeight="1" x14ac:dyDescent="0.3">
      <c r="A8" s="15"/>
      <c r="B8" s="15"/>
      <c r="C8" s="13">
        <v>7</v>
      </c>
      <c r="D8" s="12">
        <v>1.4079999999999999</v>
      </c>
      <c r="E8" s="14"/>
      <c r="F8" s="14"/>
      <c r="H8" s="15"/>
      <c r="I8" s="15"/>
      <c r="J8" s="13">
        <v>7</v>
      </c>
      <c r="K8" s="12">
        <v>1.621</v>
      </c>
      <c r="L8" s="14"/>
      <c r="M8" s="14"/>
      <c r="O8" s="15"/>
      <c r="P8" s="15"/>
      <c r="Q8" s="13">
        <v>7</v>
      </c>
      <c r="R8" s="12">
        <v>3.9E-2</v>
      </c>
      <c r="S8" s="14"/>
      <c r="T8" s="14"/>
    </row>
    <row r="9" spans="1:20" ht="15" customHeight="1" x14ac:dyDescent="0.3">
      <c r="A9" s="15"/>
      <c r="B9" s="15"/>
      <c r="C9" s="13">
        <v>8</v>
      </c>
      <c r="D9" s="12">
        <v>1.607</v>
      </c>
      <c r="E9" s="14"/>
      <c r="F9" s="14"/>
      <c r="H9" s="15"/>
      <c r="I9" s="15"/>
      <c r="J9" s="13">
        <v>8</v>
      </c>
      <c r="K9" s="12">
        <v>1.42</v>
      </c>
      <c r="L9" s="14"/>
      <c r="M9" s="14"/>
      <c r="O9" s="15"/>
      <c r="P9" s="15"/>
      <c r="Q9" s="13">
        <v>8</v>
      </c>
      <c r="R9" s="12">
        <v>2.4E-2</v>
      </c>
      <c r="S9" s="14"/>
      <c r="T9" s="14"/>
    </row>
    <row r="10" spans="1:20" ht="15" customHeight="1" x14ac:dyDescent="0.3">
      <c r="A10" s="15"/>
      <c r="B10" s="15"/>
      <c r="C10" s="13">
        <v>9</v>
      </c>
      <c r="D10" s="12">
        <v>1.8340000000000001</v>
      </c>
      <c r="E10" s="14"/>
      <c r="F10" s="14"/>
      <c r="H10" s="15"/>
      <c r="I10" s="15"/>
      <c r="J10" s="13">
        <v>9</v>
      </c>
      <c r="K10" s="12">
        <v>1.2709999999999999</v>
      </c>
      <c r="L10" s="14"/>
      <c r="M10" s="14"/>
      <c r="O10" s="15"/>
      <c r="P10" s="15"/>
      <c r="Q10" s="13">
        <v>9</v>
      </c>
      <c r="R10" s="12">
        <v>0.01</v>
      </c>
      <c r="S10" s="14"/>
      <c r="T10" s="14"/>
    </row>
    <row r="11" spans="1:20" ht="15" customHeight="1" x14ac:dyDescent="0.3">
      <c r="A11" s="15"/>
      <c r="B11" s="15"/>
      <c r="C11" s="13">
        <v>10</v>
      </c>
      <c r="D11" s="12">
        <v>2</v>
      </c>
      <c r="E11" s="14"/>
      <c r="F11" s="14"/>
      <c r="H11" s="15"/>
      <c r="I11" s="15"/>
      <c r="J11" s="13">
        <v>10</v>
      </c>
      <c r="K11" s="12">
        <v>1.5629999999999999</v>
      </c>
      <c r="L11" s="14"/>
      <c r="M11" s="14"/>
      <c r="O11" s="15"/>
      <c r="P11" s="15"/>
      <c r="Q11" s="13">
        <v>10</v>
      </c>
      <c r="R11" s="12">
        <v>0.122</v>
      </c>
      <c r="S11" s="14"/>
      <c r="T11" s="14"/>
    </row>
    <row r="12" spans="1:20" ht="15" customHeight="1" x14ac:dyDescent="0.3">
      <c r="A12" s="15"/>
      <c r="B12" s="15"/>
      <c r="C12" s="13">
        <v>11</v>
      </c>
      <c r="D12" s="12">
        <v>1.7250000000000001</v>
      </c>
      <c r="E12" s="14"/>
      <c r="F12" s="14"/>
      <c r="H12" s="15"/>
      <c r="I12" s="15"/>
      <c r="J12" s="13">
        <v>11</v>
      </c>
      <c r="K12" s="12">
        <v>1.31</v>
      </c>
      <c r="L12" s="14"/>
      <c r="M12" s="14"/>
      <c r="O12" s="15"/>
      <c r="P12" s="15"/>
      <c r="Q12" s="13">
        <v>11</v>
      </c>
      <c r="R12" s="12">
        <v>0.128</v>
      </c>
      <c r="S12" s="14"/>
      <c r="T12" s="14"/>
    </row>
    <row r="13" spans="1:20" ht="15" customHeight="1" x14ac:dyDescent="0.3">
      <c r="A13" s="15"/>
      <c r="B13" s="15"/>
      <c r="C13" s="13">
        <v>12</v>
      </c>
      <c r="D13" s="12">
        <v>2.0459999999999998</v>
      </c>
      <c r="E13" s="14"/>
      <c r="F13" s="14"/>
      <c r="H13" s="15"/>
      <c r="I13" s="15"/>
      <c r="J13" s="13">
        <v>12</v>
      </c>
      <c r="K13" s="12">
        <v>1.526</v>
      </c>
      <c r="L13" s="14"/>
      <c r="M13" s="14"/>
      <c r="O13" s="15"/>
      <c r="P13" s="15"/>
      <c r="Q13" s="13">
        <v>12</v>
      </c>
      <c r="R13" s="12">
        <v>0.189</v>
      </c>
      <c r="S13" s="14"/>
      <c r="T13" s="14"/>
    </row>
    <row r="14" spans="1:20" ht="15" customHeight="1" x14ac:dyDescent="0.3">
      <c r="A14" s="15"/>
      <c r="B14" s="15"/>
      <c r="C14" s="13">
        <v>13</v>
      </c>
      <c r="D14" s="12">
        <v>1.4159999999999999</v>
      </c>
      <c r="E14" s="14"/>
      <c r="F14" s="14"/>
      <c r="H14" s="15"/>
      <c r="I14" s="15"/>
      <c r="J14" s="13">
        <v>13</v>
      </c>
      <c r="K14" s="12">
        <v>1.369</v>
      </c>
      <c r="L14" s="14"/>
      <c r="M14" s="14"/>
      <c r="O14" s="15"/>
      <c r="P14" s="15"/>
      <c r="Q14" s="13">
        <v>13</v>
      </c>
      <c r="R14" s="12">
        <v>8.7999999999999995E-2</v>
      </c>
      <c r="S14" s="14"/>
      <c r="T14" s="14"/>
    </row>
    <row r="15" spans="1:20" ht="15" customHeight="1" x14ac:dyDescent="0.3">
      <c r="A15" s="15"/>
      <c r="B15" s="15"/>
      <c r="C15" s="13">
        <v>14</v>
      </c>
      <c r="D15" s="12">
        <v>1.859</v>
      </c>
      <c r="E15" s="14"/>
      <c r="F15" s="14"/>
      <c r="H15" s="15"/>
      <c r="I15" s="15"/>
      <c r="J15" s="13">
        <v>14</v>
      </c>
      <c r="K15" s="12">
        <v>1.2849999999999999</v>
      </c>
      <c r="L15" s="14"/>
      <c r="M15" s="14"/>
      <c r="O15" s="15"/>
      <c r="P15" s="15"/>
      <c r="Q15" s="13">
        <v>14</v>
      </c>
      <c r="R15" s="12">
        <v>7.0999999999999994E-2</v>
      </c>
      <c r="S15" s="14"/>
      <c r="T15" s="14"/>
    </row>
    <row r="16" spans="1:20" ht="15" customHeight="1" x14ac:dyDescent="0.3">
      <c r="A16" s="15"/>
      <c r="B16" s="15"/>
      <c r="C16" s="13">
        <v>15</v>
      </c>
      <c r="D16" s="12">
        <v>1.694</v>
      </c>
      <c r="E16" s="14"/>
      <c r="F16" s="14"/>
      <c r="H16" s="15"/>
      <c r="I16" s="15"/>
      <c r="J16" s="13">
        <v>15</v>
      </c>
      <c r="K16" s="12">
        <v>1.22</v>
      </c>
      <c r="L16" s="14"/>
      <c r="M16" s="14"/>
      <c r="O16" s="15"/>
      <c r="P16" s="15"/>
      <c r="Q16" s="13">
        <v>15</v>
      </c>
      <c r="R16" s="12">
        <v>2E-3</v>
      </c>
      <c r="S16" s="14"/>
      <c r="T16" s="14"/>
    </row>
    <row r="18" spans="1:20" ht="15" customHeight="1" x14ac:dyDescent="0.3">
      <c r="A18" s="11" t="s">
        <v>62</v>
      </c>
      <c r="B18" s="11" t="s">
        <v>63</v>
      </c>
      <c r="C18" s="11" t="s">
        <v>64</v>
      </c>
      <c r="D18" s="11" t="s">
        <v>65</v>
      </c>
      <c r="E18" s="11" t="s">
        <v>66</v>
      </c>
      <c r="F18" s="11" t="s">
        <v>67</v>
      </c>
      <c r="H18" s="11" t="s">
        <v>62</v>
      </c>
      <c r="I18" s="11" t="s">
        <v>63</v>
      </c>
      <c r="J18" s="11" t="s">
        <v>64</v>
      </c>
      <c r="K18" s="11" t="s">
        <v>65</v>
      </c>
      <c r="L18" s="11" t="s">
        <v>66</v>
      </c>
      <c r="M18" s="11" t="s">
        <v>67</v>
      </c>
      <c r="O18" s="11" t="s">
        <v>62</v>
      </c>
      <c r="P18" s="11" t="s">
        <v>63</v>
      </c>
      <c r="Q18" s="11" t="s">
        <v>64</v>
      </c>
      <c r="R18" s="11" t="s">
        <v>65</v>
      </c>
      <c r="S18" s="11" t="s">
        <v>66</v>
      </c>
      <c r="T18" s="11" t="s">
        <v>67</v>
      </c>
    </row>
    <row r="19" spans="1:20" ht="15" customHeight="1" x14ac:dyDescent="0.3">
      <c r="A19" s="15">
        <v>3.8</v>
      </c>
      <c r="B19" s="15">
        <v>3.2</v>
      </c>
      <c r="C19" s="13">
        <v>1</v>
      </c>
      <c r="D19" s="12">
        <v>0.76700000000000002</v>
      </c>
      <c r="E19" s="14">
        <f>AVERAGE(D19:D33)</f>
        <v>1.0016</v>
      </c>
      <c r="F19" s="14">
        <f>_xlfn.VAR.S(D19:D33)</f>
        <v>7.9189542857142997E-2</v>
      </c>
      <c r="H19" s="15">
        <v>5.4</v>
      </c>
      <c r="I19" s="15">
        <v>2.8</v>
      </c>
      <c r="J19" s="13">
        <v>1</v>
      </c>
      <c r="K19" s="12">
        <v>0</v>
      </c>
      <c r="L19" s="14">
        <f>AVERAGE(K19:K33)</f>
        <v>5.9600000000000007E-2</v>
      </c>
      <c r="M19" s="14">
        <f>_xlfn.VAR.S(K19:K33)</f>
        <v>6.7475428571428572E-3</v>
      </c>
      <c r="O19" s="15">
        <v>5</v>
      </c>
      <c r="P19" s="15">
        <v>1.2</v>
      </c>
      <c r="Q19" s="13">
        <v>1</v>
      </c>
      <c r="R19" s="12">
        <v>0</v>
      </c>
      <c r="S19" s="14">
        <f>AVERAGE(R19:R33)</f>
        <v>0</v>
      </c>
      <c r="T19" s="14">
        <f>_xlfn.VAR.S(R19:R33)</f>
        <v>0</v>
      </c>
    </row>
    <row r="20" spans="1:20" ht="15" customHeight="1" x14ac:dyDescent="0.3">
      <c r="A20" s="15"/>
      <c r="B20" s="15"/>
      <c r="C20" s="13">
        <v>2</v>
      </c>
      <c r="D20" s="12">
        <v>1.21</v>
      </c>
      <c r="E20" s="14"/>
      <c r="F20" s="14"/>
      <c r="H20" s="15"/>
      <c r="I20" s="15"/>
      <c r="J20" s="13">
        <v>2</v>
      </c>
      <c r="K20" s="12">
        <v>6.7000000000000004E-2</v>
      </c>
      <c r="L20" s="14"/>
      <c r="M20" s="14"/>
      <c r="O20" s="15"/>
      <c r="P20" s="15"/>
      <c r="Q20" s="13">
        <v>2</v>
      </c>
      <c r="R20" s="12">
        <v>0</v>
      </c>
      <c r="S20" s="14"/>
      <c r="T20" s="14"/>
    </row>
    <row r="21" spans="1:20" ht="15" customHeight="1" x14ac:dyDescent="0.3">
      <c r="A21" s="15"/>
      <c r="B21" s="15"/>
      <c r="C21" s="13">
        <v>3</v>
      </c>
      <c r="D21" s="12">
        <v>1.196</v>
      </c>
      <c r="E21" s="14"/>
      <c r="F21" s="14"/>
      <c r="H21" s="15"/>
      <c r="I21" s="15"/>
      <c r="J21" s="13">
        <v>3</v>
      </c>
      <c r="K21" s="12">
        <v>0</v>
      </c>
      <c r="L21" s="14"/>
      <c r="M21" s="14"/>
      <c r="O21" s="15"/>
      <c r="P21" s="15"/>
      <c r="Q21" s="13">
        <v>3</v>
      </c>
      <c r="R21" s="12">
        <v>0</v>
      </c>
      <c r="S21" s="14"/>
      <c r="T21" s="14"/>
    </row>
    <row r="22" spans="1:20" ht="15" customHeight="1" x14ac:dyDescent="0.3">
      <c r="A22" s="15"/>
      <c r="B22" s="15"/>
      <c r="C22" s="13">
        <v>4</v>
      </c>
      <c r="D22" s="12">
        <v>1.103</v>
      </c>
      <c r="E22" s="14"/>
      <c r="F22" s="14"/>
      <c r="H22" s="15"/>
      <c r="I22" s="15"/>
      <c r="J22" s="13">
        <v>4</v>
      </c>
      <c r="K22" s="12">
        <v>2.5000000000000001E-2</v>
      </c>
      <c r="L22" s="14"/>
      <c r="M22" s="14"/>
      <c r="O22" s="15"/>
      <c r="P22" s="15"/>
      <c r="Q22" s="13">
        <v>4</v>
      </c>
      <c r="R22" s="12">
        <v>0</v>
      </c>
      <c r="S22" s="14"/>
      <c r="T22" s="14"/>
    </row>
    <row r="23" spans="1:20" ht="15" customHeight="1" x14ac:dyDescent="0.3">
      <c r="A23" s="15"/>
      <c r="B23" s="15"/>
      <c r="C23" s="13">
        <v>5</v>
      </c>
      <c r="D23" s="12">
        <v>1.5349999999999999</v>
      </c>
      <c r="E23" s="14"/>
      <c r="F23" s="14"/>
      <c r="H23" s="15"/>
      <c r="I23" s="15"/>
      <c r="J23" s="13">
        <v>5</v>
      </c>
      <c r="K23" s="12">
        <v>0</v>
      </c>
      <c r="L23" s="14"/>
      <c r="M23" s="14"/>
      <c r="O23" s="15"/>
      <c r="P23" s="15"/>
      <c r="Q23" s="13">
        <v>5</v>
      </c>
      <c r="R23" s="12">
        <v>0</v>
      </c>
      <c r="S23" s="14"/>
      <c r="T23" s="14"/>
    </row>
    <row r="24" spans="1:20" ht="15" customHeight="1" x14ac:dyDescent="0.3">
      <c r="A24" s="15"/>
      <c r="B24" s="15"/>
      <c r="C24" s="13">
        <v>6</v>
      </c>
      <c r="D24" s="12">
        <v>0.95599999999999996</v>
      </c>
      <c r="E24" s="14"/>
      <c r="F24" s="14"/>
      <c r="H24" s="15"/>
      <c r="I24" s="15"/>
      <c r="J24" s="13">
        <v>6</v>
      </c>
      <c r="K24" s="12">
        <v>0</v>
      </c>
      <c r="L24" s="14"/>
      <c r="M24" s="14"/>
      <c r="O24" s="15"/>
      <c r="P24" s="15"/>
      <c r="Q24" s="13">
        <v>6</v>
      </c>
      <c r="R24" s="12">
        <v>0</v>
      </c>
      <c r="S24" s="14"/>
      <c r="T24" s="14"/>
    </row>
    <row r="25" spans="1:20" ht="15" customHeight="1" x14ac:dyDescent="0.3">
      <c r="A25" s="15"/>
      <c r="B25" s="15"/>
      <c r="C25" s="13">
        <v>7</v>
      </c>
      <c r="D25" s="12">
        <v>0.83699999999999997</v>
      </c>
      <c r="E25" s="14"/>
      <c r="F25" s="14"/>
      <c r="H25" s="15"/>
      <c r="I25" s="15"/>
      <c r="J25" s="13">
        <v>7</v>
      </c>
      <c r="K25" s="12">
        <v>0.216</v>
      </c>
      <c r="L25" s="14"/>
      <c r="M25" s="14"/>
      <c r="O25" s="15"/>
      <c r="P25" s="15"/>
      <c r="Q25" s="13">
        <v>7</v>
      </c>
      <c r="R25" s="12">
        <v>0</v>
      </c>
      <c r="S25" s="14"/>
      <c r="T25" s="14"/>
    </row>
    <row r="26" spans="1:20" ht="15" customHeight="1" x14ac:dyDescent="0.3">
      <c r="A26" s="15"/>
      <c r="B26" s="15"/>
      <c r="C26" s="13">
        <v>8</v>
      </c>
      <c r="D26" s="12">
        <v>1.526</v>
      </c>
      <c r="E26" s="14"/>
      <c r="F26" s="14"/>
      <c r="H26" s="15"/>
      <c r="I26" s="15"/>
      <c r="J26" s="13">
        <v>8</v>
      </c>
      <c r="K26" s="12">
        <v>0.192</v>
      </c>
      <c r="L26" s="14"/>
      <c r="M26" s="14"/>
      <c r="O26" s="15"/>
      <c r="P26" s="15"/>
      <c r="Q26" s="13">
        <v>8</v>
      </c>
      <c r="R26" s="12">
        <v>0</v>
      </c>
      <c r="S26" s="14"/>
      <c r="T26" s="14"/>
    </row>
    <row r="27" spans="1:20" ht="15" customHeight="1" x14ac:dyDescent="0.3">
      <c r="A27" s="15"/>
      <c r="B27" s="15"/>
      <c r="C27" s="13">
        <v>9</v>
      </c>
      <c r="D27" s="12">
        <v>1.024</v>
      </c>
      <c r="E27" s="14"/>
      <c r="F27" s="14"/>
      <c r="H27" s="15"/>
      <c r="I27" s="15"/>
      <c r="J27" s="13">
        <v>9</v>
      </c>
      <c r="K27" s="12">
        <v>0</v>
      </c>
      <c r="L27" s="14"/>
      <c r="M27" s="14"/>
      <c r="O27" s="15"/>
      <c r="P27" s="15"/>
      <c r="Q27" s="13">
        <v>9</v>
      </c>
      <c r="R27" s="12">
        <v>0</v>
      </c>
      <c r="S27" s="14"/>
      <c r="T27" s="14"/>
    </row>
    <row r="28" spans="1:20" ht="15" customHeight="1" x14ac:dyDescent="0.3">
      <c r="A28" s="15"/>
      <c r="B28" s="15"/>
      <c r="C28" s="13">
        <v>10</v>
      </c>
      <c r="D28" s="12">
        <v>0.85099999999999998</v>
      </c>
      <c r="E28" s="14"/>
      <c r="F28" s="14"/>
      <c r="H28" s="15"/>
      <c r="I28" s="15"/>
      <c r="J28" s="13">
        <v>10</v>
      </c>
      <c r="K28" s="12">
        <v>0</v>
      </c>
      <c r="L28" s="14"/>
      <c r="M28" s="14"/>
      <c r="O28" s="15"/>
      <c r="P28" s="15"/>
      <c r="Q28" s="13">
        <v>10</v>
      </c>
      <c r="R28" s="12">
        <v>0</v>
      </c>
      <c r="S28" s="14"/>
      <c r="T28" s="14"/>
    </row>
    <row r="29" spans="1:20" ht="15" customHeight="1" x14ac:dyDescent="0.3">
      <c r="A29" s="15"/>
      <c r="B29" s="15"/>
      <c r="C29" s="13">
        <v>11</v>
      </c>
      <c r="D29" s="12">
        <v>0.75900000000000001</v>
      </c>
      <c r="E29" s="14"/>
      <c r="F29" s="14"/>
      <c r="H29" s="15"/>
      <c r="I29" s="15"/>
      <c r="J29" s="13">
        <v>11</v>
      </c>
      <c r="K29" s="12">
        <v>0</v>
      </c>
      <c r="L29" s="14"/>
      <c r="M29" s="14"/>
      <c r="O29" s="15"/>
      <c r="P29" s="15"/>
      <c r="Q29" s="13">
        <v>11</v>
      </c>
      <c r="R29" s="12">
        <v>0</v>
      </c>
      <c r="S29" s="14"/>
      <c r="T29" s="14"/>
    </row>
    <row r="30" spans="1:20" ht="15" customHeight="1" x14ac:dyDescent="0.3">
      <c r="A30" s="15"/>
      <c r="B30" s="15"/>
      <c r="C30" s="13">
        <v>12</v>
      </c>
      <c r="D30" s="12">
        <v>0.71699999999999997</v>
      </c>
      <c r="E30" s="14"/>
      <c r="F30" s="14"/>
      <c r="H30" s="15"/>
      <c r="I30" s="15"/>
      <c r="J30" s="13">
        <v>12</v>
      </c>
      <c r="K30" s="12">
        <v>6.8000000000000005E-2</v>
      </c>
      <c r="L30" s="14"/>
      <c r="M30" s="14"/>
      <c r="O30" s="15"/>
      <c r="P30" s="15"/>
      <c r="Q30" s="13">
        <v>12</v>
      </c>
      <c r="R30" s="12">
        <v>0</v>
      </c>
      <c r="S30" s="14"/>
      <c r="T30" s="14"/>
    </row>
    <row r="31" spans="1:20" ht="15" customHeight="1" x14ac:dyDescent="0.3">
      <c r="A31" s="15"/>
      <c r="B31" s="15"/>
      <c r="C31" s="13">
        <v>13</v>
      </c>
      <c r="D31" s="12">
        <v>0.55600000000000005</v>
      </c>
      <c r="E31" s="14"/>
      <c r="F31" s="14"/>
      <c r="H31" s="15"/>
      <c r="I31" s="15"/>
      <c r="J31" s="13">
        <v>13</v>
      </c>
      <c r="K31" s="12">
        <v>0</v>
      </c>
      <c r="L31" s="14"/>
      <c r="M31" s="14"/>
      <c r="O31" s="15"/>
      <c r="P31" s="15"/>
      <c r="Q31" s="13">
        <v>13</v>
      </c>
      <c r="R31" s="12">
        <v>0</v>
      </c>
      <c r="S31" s="14"/>
      <c r="T31" s="14"/>
    </row>
    <row r="32" spans="1:20" ht="15" customHeight="1" x14ac:dyDescent="0.3">
      <c r="A32" s="15"/>
      <c r="B32" s="15"/>
      <c r="C32" s="13">
        <v>14</v>
      </c>
      <c r="D32" s="12">
        <v>1.07</v>
      </c>
      <c r="E32" s="14"/>
      <c r="F32" s="14"/>
      <c r="H32" s="15"/>
      <c r="I32" s="15"/>
      <c r="J32" s="13">
        <v>14</v>
      </c>
      <c r="K32" s="12">
        <v>0.189</v>
      </c>
      <c r="L32" s="14"/>
      <c r="M32" s="14"/>
      <c r="O32" s="15"/>
      <c r="P32" s="15"/>
      <c r="Q32" s="13">
        <v>14</v>
      </c>
      <c r="R32" s="12">
        <v>0</v>
      </c>
      <c r="S32" s="14"/>
      <c r="T32" s="14"/>
    </row>
    <row r="33" spans="1:20" ht="15" customHeight="1" x14ac:dyDescent="0.3">
      <c r="A33" s="15"/>
      <c r="B33" s="15"/>
      <c r="C33" s="13">
        <v>15</v>
      </c>
      <c r="D33" s="12">
        <v>0.91700000000000004</v>
      </c>
      <c r="E33" s="14"/>
      <c r="F33" s="14"/>
      <c r="H33" s="15"/>
      <c r="I33" s="15"/>
      <c r="J33" s="13">
        <v>15</v>
      </c>
      <c r="K33" s="12">
        <v>0.13700000000000001</v>
      </c>
      <c r="L33" s="14"/>
      <c r="M33" s="14"/>
      <c r="O33" s="15"/>
      <c r="P33" s="15"/>
      <c r="Q33" s="13">
        <v>15</v>
      </c>
      <c r="R33" s="12">
        <v>0</v>
      </c>
      <c r="S33" s="14"/>
      <c r="T33" s="14"/>
    </row>
    <row r="35" spans="1:20" ht="15" customHeight="1" x14ac:dyDescent="0.3">
      <c r="A35" s="11" t="s">
        <v>68</v>
      </c>
      <c r="B35" s="15" t="s">
        <v>69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</row>
  </sheetData>
  <mergeCells count="25">
    <mergeCell ref="L19:L33"/>
    <mergeCell ref="M19:M33"/>
    <mergeCell ref="B35:T35"/>
    <mergeCell ref="O19:O33"/>
    <mergeCell ref="P19:P33"/>
    <mergeCell ref="S19:S33"/>
    <mergeCell ref="T19:T33"/>
    <mergeCell ref="I19:I33"/>
    <mergeCell ref="A19:A33"/>
    <mergeCell ref="B19:B33"/>
    <mergeCell ref="E19:E33"/>
    <mergeCell ref="F19:F33"/>
    <mergeCell ref="H19:H33"/>
    <mergeCell ref="T2:T16"/>
    <mergeCell ref="A2:A16"/>
    <mergeCell ref="B2:B16"/>
    <mergeCell ref="E2:E16"/>
    <mergeCell ref="F2:F16"/>
    <mergeCell ref="H2:H16"/>
    <mergeCell ref="I2:I16"/>
    <mergeCell ref="L2:L16"/>
    <mergeCell ref="M2:M16"/>
    <mergeCell ref="O2:O16"/>
    <mergeCell ref="P2:P16"/>
    <mergeCell ref="S2:S16"/>
  </mergeCells>
  <phoneticPr fontId="1" type="noConversion"/>
  <conditionalFormatting sqref="D2:D16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D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1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A3583-3F4B-47DB-8277-6EF38847FA58}">
  <dimension ref="A1:T35"/>
  <sheetViews>
    <sheetView zoomScale="70" zoomScaleNormal="70" workbookViewId="0">
      <selection activeCell="R34" sqref="R34"/>
    </sheetView>
  </sheetViews>
  <sheetFormatPr defaultColWidth="10.75" defaultRowHeight="15" customHeight="1" x14ac:dyDescent="0.3"/>
  <cols>
    <col min="1" max="16384" width="10.75" style="10"/>
  </cols>
  <sheetData>
    <row r="1" spans="1:20" ht="15" customHeight="1" x14ac:dyDescent="0.3">
      <c r="A1" s="11" t="s">
        <v>62</v>
      </c>
      <c r="B1" s="11" t="s">
        <v>63</v>
      </c>
      <c r="C1" s="11" t="s">
        <v>64</v>
      </c>
      <c r="D1" s="11" t="s">
        <v>65</v>
      </c>
      <c r="E1" s="11" t="s">
        <v>66</v>
      </c>
      <c r="F1" s="11" t="s">
        <v>67</v>
      </c>
      <c r="H1" s="11" t="s">
        <v>62</v>
      </c>
      <c r="I1" s="11" t="s">
        <v>63</v>
      </c>
      <c r="J1" s="11" t="s">
        <v>64</v>
      </c>
      <c r="K1" s="11" t="s">
        <v>65</v>
      </c>
      <c r="L1" s="11" t="s">
        <v>66</v>
      </c>
      <c r="M1" s="11" t="s">
        <v>67</v>
      </c>
      <c r="O1" s="11" t="s">
        <v>62</v>
      </c>
      <c r="P1" s="11" t="s">
        <v>63</v>
      </c>
      <c r="Q1" s="11" t="s">
        <v>64</v>
      </c>
      <c r="R1" s="11" t="s">
        <v>65</v>
      </c>
      <c r="S1" s="11" t="s">
        <v>66</v>
      </c>
      <c r="T1" s="11" t="s">
        <v>67</v>
      </c>
    </row>
    <row r="2" spans="1:20" ht="15" customHeight="1" x14ac:dyDescent="0.3">
      <c r="A2" s="15">
        <v>4.5999999999999996</v>
      </c>
      <c r="B2" s="15">
        <v>2.4</v>
      </c>
      <c r="C2" s="13">
        <v>1</v>
      </c>
      <c r="D2" s="12">
        <v>0.25900000000000001</v>
      </c>
      <c r="E2" s="14">
        <f>AVERAGE(D2:D16)</f>
        <v>0.22486666666666669</v>
      </c>
      <c r="F2" s="14">
        <f>_xlfn.VAR.S(D2:D16)</f>
        <v>3.6157980952380937E-2</v>
      </c>
      <c r="H2" s="15">
        <v>3.8</v>
      </c>
      <c r="I2" s="15">
        <v>2.4</v>
      </c>
      <c r="J2" s="13">
        <v>1</v>
      </c>
      <c r="K2" s="12">
        <v>0.34599999999999997</v>
      </c>
      <c r="L2" s="14">
        <f>AVERAGE(K2:K16)</f>
        <v>0.55319999999999991</v>
      </c>
      <c r="M2" s="14">
        <f>_xlfn.VAR.S(K2:K16)</f>
        <v>5.3199314285714373E-2</v>
      </c>
      <c r="O2" s="15">
        <v>4.2</v>
      </c>
      <c r="P2" s="15">
        <v>1.6</v>
      </c>
      <c r="Q2" s="13">
        <v>1</v>
      </c>
      <c r="R2" s="12">
        <v>0.46400000000000002</v>
      </c>
      <c r="S2" s="14">
        <f>AVERAGE(R2:R16)</f>
        <v>0.41526666666666673</v>
      </c>
      <c r="T2" s="14">
        <f>_xlfn.VAR.S(R2:R16)</f>
        <v>2.0245780952380863E-2</v>
      </c>
    </row>
    <row r="3" spans="1:20" ht="15" customHeight="1" x14ac:dyDescent="0.3">
      <c r="A3" s="15"/>
      <c r="B3" s="15"/>
      <c r="C3" s="13">
        <v>2</v>
      </c>
      <c r="D3" s="12">
        <v>0.24399999999999999</v>
      </c>
      <c r="E3" s="14"/>
      <c r="F3" s="14"/>
      <c r="H3" s="15"/>
      <c r="I3" s="15"/>
      <c r="J3" s="13">
        <v>2</v>
      </c>
      <c r="K3" s="12">
        <v>0.56699999999999995</v>
      </c>
      <c r="L3" s="14"/>
      <c r="M3" s="14"/>
      <c r="O3" s="15"/>
      <c r="P3" s="15"/>
      <c r="Q3" s="13">
        <v>2</v>
      </c>
      <c r="R3" s="12">
        <v>0.504</v>
      </c>
      <c r="S3" s="14"/>
      <c r="T3" s="14"/>
    </row>
    <row r="4" spans="1:20" ht="15" customHeight="1" x14ac:dyDescent="0.3">
      <c r="A4" s="15"/>
      <c r="B4" s="15"/>
      <c r="C4" s="13">
        <v>3</v>
      </c>
      <c r="D4" s="12">
        <v>0.48499999999999999</v>
      </c>
      <c r="E4" s="14"/>
      <c r="F4" s="14"/>
      <c r="H4" s="15"/>
      <c r="I4" s="15"/>
      <c r="J4" s="13">
        <v>3</v>
      </c>
      <c r="K4" s="12">
        <v>0.874</v>
      </c>
      <c r="L4" s="14"/>
      <c r="M4" s="14"/>
      <c r="O4" s="15"/>
      <c r="P4" s="15"/>
      <c r="Q4" s="13">
        <v>3</v>
      </c>
      <c r="R4" s="12">
        <v>0.72199999999999998</v>
      </c>
      <c r="S4" s="14"/>
      <c r="T4" s="14"/>
    </row>
    <row r="5" spans="1:20" ht="15" customHeight="1" x14ac:dyDescent="0.3">
      <c r="A5" s="15"/>
      <c r="B5" s="15"/>
      <c r="C5" s="13">
        <v>4</v>
      </c>
      <c r="D5" s="12">
        <v>0.36199999999999999</v>
      </c>
      <c r="E5" s="14"/>
      <c r="F5" s="14"/>
      <c r="H5" s="15"/>
      <c r="I5" s="15"/>
      <c r="J5" s="13">
        <v>4</v>
      </c>
      <c r="K5" s="12">
        <v>0.995</v>
      </c>
      <c r="L5" s="14"/>
      <c r="M5" s="14"/>
      <c r="O5" s="15"/>
      <c r="P5" s="15"/>
      <c r="Q5" s="13">
        <v>4</v>
      </c>
      <c r="R5" s="12">
        <v>0.46200000000000002</v>
      </c>
      <c r="S5" s="14"/>
      <c r="T5" s="14"/>
    </row>
    <row r="6" spans="1:20" ht="15" customHeight="1" x14ac:dyDescent="0.3">
      <c r="A6" s="15"/>
      <c r="B6" s="15"/>
      <c r="C6" s="13">
        <v>5</v>
      </c>
      <c r="D6" s="12">
        <v>8.5999999999999993E-2</v>
      </c>
      <c r="E6" s="14"/>
      <c r="F6" s="14"/>
      <c r="H6" s="15"/>
      <c r="I6" s="15"/>
      <c r="J6" s="13">
        <v>5</v>
      </c>
      <c r="K6" s="12">
        <v>0.36299999999999999</v>
      </c>
      <c r="L6" s="14"/>
      <c r="M6" s="14"/>
      <c r="O6" s="15"/>
      <c r="P6" s="15"/>
      <c r="Q6" s="13">
        <v>5</v>
      </c>
      <c r="R6" s="12">
        <v>0.23200000000000001</v>
      </c>
      <c r="S6" s="14"/>
      <c r="T6" s="14"/>
    </row>
    <row r="7" spans="1:20" ht="15" customHeight="1" x14ac:dyDescent="0.3">
      <c r="A7" s="15"/>
      <c r="B7" s="15"/>
      <c r="C7" s="13">
        <v>6</v>
      </c>
      <c r="D7" s="12">
        <v>0.108</v>
      </c>
      <c r="E7" s="14"/>
      <c r="F7" s="14"/>
      <c r="H7" s="15"/>
      <c r="I7" s="15"/>
      <c r="J7" s="13">
        <v>6</v>
      </c>
      <c r="K7" s="12">
        <v>0.35699999999999998</v>
      </c>
      <c r="L7" s="14"/>
      <c r="M7" s="14"/>
      <c r="O7" s="15"/>
      <c r="P7" s="15"/>
      <c r="Q7" s="13">
        <v>6</v>
      </c>
      <c r="R7" s="12">
        <v>0.44</v>
      </c>
      <c r="S7" s="14"/>
      <c r="T7" s="14"/>
    </row>
    <row r="8" spans="1:20" ht="15" customHeight="1" x14ac:dyDescent="0.3">
      <c r="A8" s="15"/>
      <c r="B8" s="15"/>
      <c r="C8" s="13">
        <v>7</v>
      </c>
      <c r="D8" s="12">
        <v>0</v>
      </c>
      <c r="E8" s="14"/>
      <c r="F8" s="14"/>
      <c r="H8" s="15"/>
      <c r="I8" s="15"/>
      <c r="J8" s="13">
        <v>7</v>
      </c>
      <c r="K8" s="12">
        <v>0.70099999999999996</v>
      </c>
      <c r="L8" s="14"/>
      <c r="M8" s="14"/>
      <c r="O8" s="15"/>
      <c r="P8" s="15"/>
      <c r="Q8" s="13">
        <v>7</v>
      </c>
      <c r="R8" s="12">
        <v>0.377</v>
      </c>
      <c r="S8" s="14"/>
      <c r="T8" s="14"/>
    </row>
    <row r="9" spans="1:20" ht="15" customHeight="1" x14ac:dyDescent="0.3">
      <c r="A9" s="15"/>
      <c r="B9" s="15"/>
      <c r="C9" s="13">
        <v>8</v>
      </c>
      <c r="D9" s="12">
        <v>5.2999999999999999E-2</v>
      </c>
      <c r="E9" s="14"/>
      <c r="F9" s="14"/>
      <c r="H9" s="15"/>
      <c r="I9" s="15"/>
      <c r="J9" s="13">
        <v>8</v>
      </c>
      <c r="K9" s="12">
        <v>0.88500000000000001</v>
      </c>
      <c r="L9" s="14"/>
      <c r="M9" s="14"/>
      <c r="O9" s="15"/>
      <c r="P9" s="15"/>
      <c r="Q9" s="13">
        <v>8</v>
      </c>
      <c r="R9" s="12">
        <v>0.248</v>
      </c>
      <c r="S9" s="14"/>
      <c r="T9" s="14"/>
    </row>
    <row r="10" spans="1:20" ht="15" customHeight="1" x14ac:dyDescent="0.3">
      <c r="A10" s="15"/>
      <c r="B10" s="15"/>
      <c r="C10" s="13">
        <v>9</v>
      </c>
      <c r="D10" s="12">
        <v>0.63800000000000001</v>
      </c>
      <c r="E10" s="14"/>
      <c r="F10" s="14"/>
      <c r="H10" s="15"/>
      <c r="I10" s="15"/>
      <c r="J10" s="13">
        <v>9</v>
      </c>
      <c r="K10" s="12">
        <v>0.69499999999999995</v>
      </c>
      <c r="L10" s="14"/>
      <c r="M10" s="14"/>
      <c r="O10" s="15"/>
      <c r="P10" s="15"/>
      <c r="Q10" s="13">
        <v>9</v>
      </c>
      <c r="R10" s="12">
        <v>0.48499999999999999</v>
      </c>
      <c r="S10" s="14"/>
      <c r="T10" s="14"/>
    </row>
    <row r="11" spans="1:20" ht="15" customHeight="1" x14ac:dyDescent="0.3">
      <c r="A11" s="15"/>
      <c r="B11" s="15"/>
      <c r="C11" s="13">
        <v>10</v>
      </c>
      <c r="D11" s="12">
        <v>0.307</v>
      </c>
      <c r="E11" s="14"/>
      <c r="F11" s="14"/>
      <c r="H11" s="15"/>
      <c r="I11" s="15"/>
      <c r="J11" s="13">
        <v>10</v>
      </c>
      <c r="K11" s="12">
        <v>0.36499999999999999</v>
      </c>
      <c r="L11" s="14"/>
      <c r="M11" s="14"/>
      <c r="O11" s="15"/>
      <c r="P11" s="15"/>
      <c r="Q11" s="13">
        <v>10</v>
      </c>
      <c r="R11" s="12">
        <v>0.39200000000000002</v>
      </c>
      <c r="S11" s="14"/>
      <c r="T11" s="14"/>
    </row>
    <row r="12" spans="1:20" ht="15" customHeight="1" x14ac:dyDescent="0.3">
      <c r="A12" s="15"/>
      <c r="B12" s="15"/>
      <c r="C12" s="13">
        <v>11</v>
      </c>
      <c r="D12" s="12">
        <v>0.38500000000000001</v>
      </c>
      <c r="E12" s="14"/>
      <c r="F12" s="14"/>
      <c r="H12" s="15"/>
      <c r="I12" s="15"/>
      <c r="J12" s="13">
        <v>11</v>
      </c>
      <c r="K12" s="12">
        <v>0.54200000000000004</v>
      </c>
      <c r="L12" s="14"/>
      <c r="M12" s="14"/>
      <c r="O12" s="15"/>
      <c r="P12" s="15"/>
      <c r="Q12" s="13">
        <v>11</v>
      </c>
      <c r="R12" s="12">
        <v>0.221</v>
      </c>
      <c r="S12" s="14"/>
      <c r="T12" s="14"/>
    </row>
    <row r="13" spans="1:20" ht="15" customHeight="1" x14ac:dyDescent="0.3">
      <c r="A13" s="15"/>
      <c r="B13" s="15"/>
      <c r="C13" s="13">
        <v>12</v>
      </c>
      <c r="D13" s="12">
        <v>0.28199999999999997</v>
      </c>
      <c r="E13" s="14"/>
      <c r="F13" s="14"/>
      <c r="H13" s="15"/>
      <c r="I13" s="15"/>
      <c r="J13" s="13">
        <v>12</v>
      </c>
      <c r="K13" s="12">
        <v>0.59</v>
      </c>
      <c r="L13" s="14"/>
      <c r="M13" s="14"/>
      <c r="O13" s="15"/>
      <c r="P13" s="15"/>
      <c r="Q13" s="13">
        <v>12</v>
      </c>
      <c r="R13" s="12">
        <v>0.51600000000000001</v>
      </c>
      <c r="S13" s="14"/>
      <c r="T13" s="14"/>
    </row>
    <row r="14" spans="1:20" ht="15" customHeight="1" x14ac:dyDescent="0.3">
      <c r="A14" s="15"/>
      <c r="B14" s="15"/>
      <c r="C14" s="13">
        <v>13</v>
      </c>
      <c r="D14" s="12">
        <v>0</v>
      </c>
      <c r="E14" s="14"/>
      <c r="F14" s="14"/>
      <c r="H14" s="15"/>
      <c r="I14" s="15"/>
      <c r="J14" s="13">
        <v>13</v>
      </c>
      <c r="K14" s="12">
        <v>0.30199999999999999</v>
      </c>
      <c r="L14" s="14"/>
      <c r="M14" s="14"/>
      <c r="O14" s="15"/>
      <c r="P14" s="15"/>
      <c r="Q14" s="13">
        <v>13</v>
      </c>
      <c r="R14" s="12">
        <v>0.20300000000000001</v>
      </c>
      <c r="S14" s="14"/>
      <c r="T14" s="14"/>
    </row>
    <row r="15" spans="1:20" ht="15" customHeight="1" x14ac:dyDescent="0.3">
      <c r="A15" s="15"/>
      <c r="B15" s="15"/>
      <c r="C15" s="13">
        <v>14</v>
      </c>
      <c r="D15" s="12">
        <v>0.14299999999999999</v>
      </c>
      <c r="E15" s="14"/>
      <c r="F15" s="14"/>
      <c r="H15" s="15"/>
      <c r="I15" s="15"/>
      <c r="J15" s="13">
        <v>14</v>
      </c>
      <c r="K15" s="12">
        <v>0.34</v>
      </c>
      <c r="L15" s="14"/>
      <c r="M15" s="14"/>
      <c r="O15" s="15"/>
      <c r="P15" s="15"/>
      <c r="Q15" s="13">
        <v>14</v>
      </c>
      <c r="R15" s="12">
        <v>0.53700000000000003</v>
      </c>
      <c r="S15" s="14"/>
      <c r="T15" s="14"/>
    </row>
    <row r="16" spans="1:20" ht="15" customHeight="1" x14ac:dyDescent="0.3">
      <c r="A16" s="15"/>
      <c r="B16" s="15"/>
      <c r="C16" s="13">
        <v>15</v>
      </c>
      <c r="D16" s="12">
        <v>2.1000000000000001E-2</v>
      </c>
      <c r="E16" s="14"/>
      <c r="F16" s="14"/>
      <c r="H16" s="15"/>
      <c r="I16" s="15"/>
      <c r="J16" s="13">
        <v>15</v>
      </c>
      <c r="K16" s="12">
        <v>0.376</v>
      </c>
      <c r="L16" s="14"/>
      <c r="M16" s="14"/>
      <c r="O16" s="15"/>
      <c r="P16" s="15"/>
      <c r="Q16" s="13">
        <v>15</v>
      </c>
      <c r="R16" s="12">
        <v>0.42599999999999999</v>
      </c>
      <c r="S16" s="14"/>
      <c r="T16" s="14"/>
    </row>
    <row r="18" spans="1:20" ht="15" customHeight="1" x14ac:dyDescent="0.3">
      <c r="A18" s="11" t="s">
        <v>62</v>
      </c>
      <c r="B18" s="11" t="s">
        <v>63</v>
      </c>
      <c r="C18" s="11" t="s">
        <v>64</v>
      </c>
      <c r="D18" s="11" t="s">
        <v>65</v>
      </c>
      <c r="E18" s="11" t="s">
        <v>66</v>
      </c>
      <c r="F18" s="11" t="s">
        <v>67</v>
      </c>
      <c r="H18" s="11" t="s">
        <v>62</v>
      </c>
      <c r="I18" s="11" t="s">
        <v>63</v>
      </c>
      <c r="J18" s="11" t="s">
        <v>64</v>
      </c>
      <c r="K18" s="11" t="s">
        <v>65</v>
      </c>
      <c r="L18" s="11" t="s">
        <v>66</v>
      </c>
      <c r="M18" s="11" t="s">
        <v>67</v>
      </c>
      <c r="O18" s="11" t="s">
        <v>62</v>
      </c>
      <c r="P18" s="11" t="s">
        <v>63</v>
      </c>
      <c r="Q18" s="11" t="s">
        <v>64</v>
      </c>
      <c r="R18" s="11" t="s">
        <v>65</v>
      </c>
      <c r="S18" s="11" t="s">
        <v>66</v>
      </c>
      <c r="T18" s="11" t="s">
        <v>67</v>
      </c>
    </row>
    <row r="19" spans="1:20" ht="15" customHeight="1" x14ac:dyDescent="0.3">
      <c r="A19" s="15">
        <v>3.8</v>
      </c>
      <c r="B19" s="15">
        <v>3.2</v>
      </c>
      <c r="C19" s="13">
        <v>1</v>
      </c>
      <c r="D19" s="12">
        <v>0.86299999999999999</v>
      </c>
      <c r="E19" s="14">
        <f>AVERAGE(D19:D33)</f>
        <v>0.69893333333333318</v>
      </c>
      <c r="F19" s="14">
        <f>_xlfn.VAR.S(D19:D33)</f>
        <v>3.1244066666666841E-2</v>
      </c>
      <c r="H19" s="15">
        <v>5.4</v>
      </c>
      <c r="I19" s="15">
        <v>2.8</v>
      </c>
      <c r="J19" s="13">
        <v>1</v>
      </c>
      <c r="K19" s="12">
        <v>0.13200000000000001</v>
      </c>
      <c r="L19" s="14">
        <f>AVERAGE(K19:K33)</f>
        <v>9.2000000000000012E-2</v>
      </c>
      <c r="M19" s="14">
        <f>_xlfn.VAR.S(K19:K33)</f>
        <v>5.7242857142857139E-3</v>
      </c>
      <c r="O19" s="15">
        <v>5</v>
      </c>
      <c r="P19" s="15">
        <v>1.2</v>
      </c>
      <c r="Q19" s="13">
        <v>1</v>
      </c>
      <c r="R19" s="12">
        <v>0.48499999999999999</v>
      </c>
      <c r="S19" s="14">
        <f>AVERAGE(R19:R33)</f>
        <v>0.41953333333333326</v>
      </c>
      <c r="T19" s="14">
        <f>_xlfn.VAR.S(R19:R33)</f>
        <v>1.599426666666675E-2</v>
      </c>
    </row>
    <row r="20" spans="1:20" ht="15" customHeight="1" x14ac:dyDescent="0.3">
      <c r="A20" s="15"/>
      <c r="B20" s="15"/>
      <c r="C20" s="13">
        <v>2</v>
      </c>
      <c r="D20" s="12">
        <v>0.41499999999999998</v>
      </c>
      <c r="E20" s="14"/>
      <c r="F20" s="14"/>
      <c r="H20" s="15"/>
      <c r="I20" s="15"/>
      <c r="J20" s="13">
        <v>2</v>
      </c>
      <c r="K20" s="12">
        <v>0</v>
      </c>
      <c r="L20" s="14"/>
      <c r="M20" s="14"/>
      <c r="O20" s="15"/>
      <c r="P20" s="15"/>
      <c r="Q20" s="13">
        <v>2</v>
      </c>
      <c r="R20" s="12">
        <v>0.32300000000000001</v>
      </c>
      <c r="S20" s="14"/>
      <c r="T20" s="14"/>
    </row>
    <row r="21" spans="1:20" ht="15" customHeight="1" x14ac:dyDescent="0.3">
      <c r="A21" s="15"/>
      <c r="B21" s="15"/>
      <c r="C21" s="13">
        <v>3</v>
      </c>
      <c r="D21" s="12">
        <v>0.622</v>
      </c>
      <c r="E21" s="14"/>
      <c r="F21" s="14"/>
      <c r="H21" s="15"/>
      <c r="I21" s="15"/>
      <c r="J21" s="13">
        <v>3</v>
      </c>
      <c r="K21" s="12">
        <v>5.3999999999999999E-2</v>
      </c>
      <c r="L21" s="14"/>
      <c r="M21" s="14"/>
      <c r="O21" s="15"/>
      <c r="P21" s="15"/>
      <c r="Q21" s="13">
        <v>3</v>
      </c>
      <c r="R21" s="12">
        <v>0.378</v>
      </c>
      <c r="S21" s="14"/>
      <c r="T21" s="14"/>
    </row>
    <row r="22" spans="1:20" ht="15" customHeight="1" x14ac:dyDescent="0.3">
      <c r="A22" s="15"/>
      <c r="B22" s="15"/>
      <c r="C22" s="13">
        <v>4</v>
      </c>
      <c r="D22" s="12">
        <v>0.83099999999999996</v>
      </c>
      <c r="E22" s="14"/>
      <c r="F22" s="14"/>
      <c r="H22" s="15"/>
      <c r="I22" s="15"/>
      <c r="J22" s="13">
        <v>4</v>
      </c>
      <c r="K22" s="12">
        <v>7.5999999999999998E-2</v>
      </c>
      <c r="L22" s="14"/>
      <c r="M22" s="14"/>
      <c r="O22" s="15"/>
      <c r="P22" s="15"/>
      <c r="Q22" s="13">
        <v>4</v>
      </c>
      <c r="R22" s="12">
        <v>0.308</v>
      </c>
      <c r="S22" s="14"/>
      <c r="T22" s="14"/>
    </row>
    <row r="23" spans="1:20" ht="15" customHeight="1" x14ac:dyDescent="0.3">
      <c r="A23" s="15"/>
      <c r="B23" s="15"/>
      <c r="C23" s="13">
        <v>5</v>
      </c>
      <c r="D23" s="12">
        <v>0.82699999999999996</v>
      </c>
      <c r="E23" s="14"/>
      <c r="F23" s="14"/>
      <c r="H23" s="15"/>
      <c r="I23" s="15"/>
      <c r="J23" s="13">
        <v>5</v>
      </c>
      <c r="K23" s="12">
        <v>5.3999999999999999E-2</v>
      </c>
      <c r="L23" s="14"/>
      <c r="M23" s="14"/>
      <c r="O23" s="15"/>
      <c r="P23" s="15"/>
      <c r="Q23" s="13">
        <v>5</v>
      </c>
      <c r="R23" s="12">
        <v>0.20300000000000001</v>
      </c>
      <c r="S23" s="14"/>
      <c r="T23" s="14"/>
    </row>
    <row r="24" spans="1:20" ht="15" customHeight="1" x14ac:dyDescent="0.3">
      <c r="A24" s="15"/>
      <c r="B24" s="15"/>
      <c r="C24" s="13">
        <v>6</v>
      </c>
      <c r="D24" s="12">
        <v>0.85099999999999998</v>
      </c>
      <c r="E24" s="14"/>
      <c r="F24" s="14"/>
      <c r="H24" s="15"/>
      <c r="I24" s="15"/>
      <c r="J24" s="13">
        <v>6</v>
      </c>
      <c r="K24" s="12">
        <v>3.2000000000000001E-2</v>
      </c>
      <c r="L24" s="14"/>
      <c r="M24" s="14"/>
      <c r="O24" s="15"/>
      <c r="P24" s="15"/>
      <c r="Q24" s="13">
        <v>6</v>
      </c>
      <c r="R24" s="12">
        <v>0.51300000000000001</v>
      </c>
      <c r="S24" s="14"/>
      <c r="T24" s="14"/>
    </row>
    <row r="25" spans="1:20" ht="15" customHeight="1" x14ac:dyDescent="0.3">
      <c r="A25" s="15"/>
      <c r="B25" s="15"/>
      <c r="C25" s="13">
        <v>7</v>
      </c>
      <c r="D25" s="12">
        <v>0.57699999999999996</v>
      </c>
      <c r="E25" s="14"/>
      <c r="F25" s="14"/>
      <c r="H25" s="15"/>
      <c r="I25" s="15"/>
      <c r="J25" s="13">
        <v>7</v>
      </c>
      <c r="K25" s="12">
        <v>0.29399999999999998</v>
      </c>
      <c r="L25" s="14"/>
      <c r="M25" s="14"/>
      <c r="O25" s="15"/>
      <c r="P25" s="15"/>
      <c r="Q25" s="13">
        <v>7</v>
      </c>
      <c r="R25" s="12">
        <v>0.46600000000000003</v>
      </c>
      <c r="S25" s="14"/>
      <c r="T25" s="14"/>
    </row>
    <row r="26" spans="1:20" ht="15" customHeight="1" x14ac:dyDescent="0.3">
      <c r="A26" s="15"/>
      <c r="B26" s="15"/>
      <c r="C26" s="13">
        <v>8</v>
      </c>
      <c r="D26" s="12">
        <v>0.52200000000000002</v>
      </c>
      <c r="E26" s="14"/>
      <c r="F26" s="14"/>
      <c r="H26" s="15"/>
      <c r="I26" s="15"/>
      <c r="J26" s="13">
        <v>8</v>
      </c>
      <c r="K26" s="12">
        <v>0.16300000000000001</v>
      </c>
      <c r="L26" s="14"/>
      <c r="M26" s="14"/>
      <c r="O26" s="15"/>
      <c r="P26" s="15"/>
      <c r="Q26" s="13">
        <v>8</v>
      </c>
      <c r="R26" s="12">
        <v>0.23599999999999999</v>
      </c>
      <c r="S26" s="14"/>
      <c r="T26" s="14"/>
    </row>
    <row r="27" spans="1:20" ht="15" customHeight="1" x14ac:dyDescent="0.3">
      <c r="A27" s="15"/>
      <c r="B27" s="15"/>
      <c r="C27" s="13">
        <v>9</v>
      </c>
      <c r="D27" s="12">
        <v>0.74099999999999999</v>
      </c>
      <c r="E27" s="14"/>
      <c r="F27" s="14"/>
      <c r="H27" s="15"/>
      <c r="I27" s="15"/>
      <c r="J27" s="13">
        <v>9</v>
      </c>
      <c r="K27" s="12">
        <v>3.9E-2</v>
      </c>
      <c r="L27" s="14"/>
      <c r="M27" s="14"/>
      <c r="O27" s="15"/>
      <c r="P27" s="15"/>
      <c r="Q27" s="13">
        <v>9</v>
      </c>
      <c r="R27" s="12">
        <v>0.61699999999999999</v>
      </c>
      <c r="S27" s="14"/>
      <c r="T27" s="14"/>
    </row>
    <row r="28" spans="1:20" ht="15" customHeight="1" x14ac:dyDescent="0.3">
      <c r="A28" s="15"/>
      <c r="B28" s="15"/>
      <c r="C28" s="13">
        <v>10</v>
      </c>
      <c r="D28" s="12">
        <v>0.65200000000000002</v>
      </c>
      <c r="E28" s="14"/>
      <c r="F28" s="14"/>
      <c r="H28" s="15"/>
      <c r="I28" s="15"/>
      <c r="J28" s="13">
        <v>10</v>
      </c>
      <c r="K28" s="12">
        <v>0.154</v>
      </c>
      <c r="L28" s="14"/>
      <c r="M28" s="14"/>
      <c r="O28" s="15"/>
      <c r="P28" s="15"/>
      <c r="Q28" s="13">
        <v>10</v>
      </c>
      <c r="R28" s="12">
        <v>0.34599999999999997</v>
      </c>
      <c r="S28" s="14"/>
      <c r="T28" s="14"/>
    </row>
    <row r="29" spans="1:20" ht="15" customHeight="1" x14ac:dyDescent="0.3">
      <c r="A29" s="15"/>
      <c r="B29" s="15"/>
      <c r="C29" s="13">
        <v>11</v>
      </c>
      <c r="D29" s="12">
        <v>1.091</v>
      </c>
      <c r="E29" s="14"/>
      <c r="F29" s="14"/>
      <c r="H29" s="15"/>
      <c r="I29" s="15"/>
      <c r="J29" s="13">
        <v>11</v>
      </c>
      <c r="K29" s="12">
        <v>0</v>
      </c>
      <c r="L29" s="14"/>
      <c r="M29" s="14"/>
      <c r="O29" s="15"/>
      <c r="P29" s="15"/>
      <c r="Q29" s="13">
        <v>11</v>
      </c>
      <c r="R29" s="12">
        <v>0.629</v>
      </c>
      <c r="S29" s="14"/>
      <c r="T29" s="14"/>
    </row>
    <row r="30" spans="1:20" ht="15" customHeight="1" x14ac:dyDescent="0.3">
      <c r="A30" s="15"/>
      <c r="B30" s="15"/>
      <c r="C30" s="13">
        <v>12</v>
      </c>
      <c r="D30" s="12">
        <v>0.47</v>
      </c>
      <c r="E30" s="14"/>
      <c r="F30" s="14"/>
      <c r="H30" s="15"/>
      <c r="I30" s="15"/>
      <c r="J30" s="13">
        <v>12</v>
      </c>
      <c r="K30" s="12">
        <v>0.122</v>
      </c>
      <c r="L30" s="14"/>
      <c r="M30" s="14"/>
      <c r="O30" s="15"/>
      <c r="P30" s="15"/>
      <c r="Q30" s="13">
        <v>12</v>
      </c>
      <c r="R30" s="12">
        <v>0.46600000000000003</v>
      </c>
      <c r="S30" s="14"/>
      <c r="T30" s="14"/>
    </row>
    <row r="31" spans="1:20" ht="15" customHeight="1" x14ac:dyDescent="0.3">
      <c r="A31" s="15"/>
      <c r="B31" s="15"/>
      <c r="C31" s="13">
        <v>13</v>
      </c>
      <c r="D31" s="12">
        <v>0.69699999999999995</v>
      </c>
      <c r="E31" s="14"/>
      <c r="F31" s="14"/>
      <c r="H31" s="15"/>
      <c r="I31" s="15"/>
      <c r="J31" s="13">
        <v>13</v>
      </c>
      <c r="K31" s="12">
        <v>7.0000000000000007E-2</v>
      </c>
      <c r="L31" s="14"/>
      <c r="M31" s="14"/>
      <c r="O31" s="15"/>
      <c r="P31" s="15"/>
      <c r="Q31" s="13">
        <v>13</v>
      </c>
      <c r="R31" s="12">
        <v>0.51</v>
      </c>
      <c r="S31" s="14"/>
      <c r="T31" s="14"/>
    </row>
    <row r="32" spans="1:20" ht="15" customHeight="1" x14ac:dyDescent="0.3">
      <c r="A32" s="15"/>
      <c r="B32" s="15"/>
      <c r="C32" s="13">
        <v>14</v>
      </c>
      <c r="D32" s="12">
        <v>0.72599999999999998</v>
      </c>
      <c r="E32" s="14"/>
      <c r="F32" s="14"/>
      <c r="H32" s="15"/>
      <c r="I32" s="15"/>
      <c r="J32" s="13">
        <v>14</v>
      </c>
      <c r="K32" s="12">
        <v>0.11700000000000001</v>
      </c>
      <c r="L32" s="14"/>
      <c r="M32" s="14"/>
      <c r="O32" s="15"/>
      <c r="P32" s="15"/>
      <c r="Q32" s="13">
        <v>14</v>
      </c>
      <c r="R32" s="12">
        <v>0.46</v>
      </c>
      <c r="S32" s="14"/>
      <c r="T32" s="14"/>
    </row>
    <row r="33" spans="1:20" ht="15" customHeight="1" x14ac:dyDescent="0.3">
      <c r="A33" s="15"/>
      <c r="B33" s="15"/>
      <c r="C33" s="13">
        <v>15</v>
      </c>
      <c r="D33" s="12">
        <v>0.59899999999999998</v>
      </c>
      <c r="E33" s="14"/>
      <c r="F33" s="14"/>
      <c r="H33" s="15"/>
      <c r="I33" s="15"/>
      <c r="J33" s="13">
        <v>15</v>
      </c>
      <c r="K33" s="12">
        <v>7.2999999999999995E-2</v>
      </c>
      <c r="L33" s="14"/>
      <c r="M33" s="14"/>
      <c r="O33" s="15"/>
      <c r="P33" s="15"/>
      <c r="Q33" s="13">
        <v>15</v>
      </c>
      <c r="R33" s="12">
        <v>0.35299999999999998</v>
      </c>
      <c r="S33" s="14"/>
      <c r="T33" s="14"/>
    </row>
    <row r="35" spans="1:20" ht="15" customHeight="1" x14ac:dyDescent="0.3">
      <c r="A35" s="11" t="s">
        <v>68</v>
      </c>
      <c r="B35" s="15" t="s">
        <v>71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</row>
  </sheetData>
  <mergeCells count="25">
    <mergeCell ref="L19:L33"/>
    <mergeCell ref="M19:M33"/>
    <mergeCell ref="B35:T35"/>
    <mergeCell ref="O19:O33"/>
    <mergeCell ref="P19:P33"/>
    <mergeCell ref="S19:S33"/>
    <mergeCell ref="T19:T33"/>
    <mergeCell ref="I19:I33"/>
    <mergeCell ref="A19:A33"/>
    <mergeCell ref="B19:B33"/>
    <mergeCell ref="E19:E33"/>
    <mergeCell ref="F19:F33"/>
    <mergeCell ref="H19:H33"/>
    <mergeCell ref="T2:T16"/>
    <mergeCell ref="A2:A16"/>
    <mergeCell ref="B2:B16"/>
    <mergeCell ref="E2:E16"/>
    <mergeCell ref="F2:F16"/>
    <mergeCell ref="H2:H16"/>
    <mergeCell ref="I2:I16"/>
    <mergeCell ref="L2:L16"/>
    <mergeCell ref="M2:M16"/>
    <mergeCell ref="O2:O16"/>
    <mergeCell ref="P2:P16"/>
    <mergeCell ref="S2:S16"/>
  </mergeCells>
  <phoneticPr fontId="1" type="noConversion"/>
  <conditionalFormatting sqref="D2:D1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D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1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B2734-04DB-45C3-B495-B1BA1BC0B5BA}">
  <dimension ref="A1:T35"/>
  <sheetViews>
    <sheetView zoomScale="70" zoomScaleNormal="70" workbookViewId="0">
      <selection activeCell="P40" sqref="P40"/>
    </sheetView>
  </sheetViews>
  <sheetFormatPr defaultColWidth="10.75" defaultRowHeight="15" customHeight="1" x14ac:dyDescent="0.3"/>
  <cols>
    <col min="1" max="16384" width="10.75" style="10"/>
  </cols>
  <sheetData>
    <row r="1" spans="1:20" ht="15" customHeight="1" x14ac:dyDescent="0.3">
      <c r="A1" s="11" t="s">
        <v>62</v>
      </c>
      <c r="B1" s="11" t="s">
        <v>63</v>
      </c>
      <c r="C1" s="11" t="s">
        <v>64</v>
      </c>
      <c r="D1" s="11" t="s">
        <v>65</v>
      </c>
      <c r="E1" s="11" t="s">
        <v>66</v>
      </c>
      <c r="F1" s="11" t="s">
        <v>67</v>
      </c>
      <c r="H1" s="11" t="s">
        <v>62</v>
      </c>
      <c r="I1" s="11" t="s">
        <v>63</v>
      </c>
      <c r="J1" s="11" t="s">
        <v>64</v>
      </c>
      <c r="K1" s="11" t="s">
        <v>65</v>
      </c>
      <c r="L1" s="11" t="s">
        <v>66</v>
      </c>
      <c r="M1" s="11" t="s">
        <v>67</v>
      </c>
      <c r="O1" s="11" t="s">
        <v>62</v>
      </c>
      <c r="P1" s="11" t="s">
        <v>63</v>
      </c>
      <c r="Q1" s="11" t="s">
        <v>64</v>
      </c>
      <c r="R1" s="11" t="s">
        <v>65</v>
      </c>
      <c r="S1" s="11" t="s">
        <v>66</v>
      </c>
      <c r="T1" s="11" t="s">
        <v>67</v>
      </c>
    </row>
    <row r="2" spans="1:20" ht="15" customHeight="1" x14ac:dyDescent="0.3">
      <c r="A2" s="15">
        <v>4.5999999999999996</v>
      </c>
      <c r="B2" s="15">
        <v>2.4</v>
      </c>
      <c r="C2" s="13">
        <v>1</v>
      </c>
      <c r="D2" s="12"/>
      <c r="E2" s="14" t="e">
        <f>AVERAGE(D2:D16)</f>
        <v>#DIV/0!</v>
      </c>
      <c r="F2" s="14" t="e">
        <f>_xlfn.VAR.S(D2:D16)</f>
        <v>#DIV/0!</v>
      </c>
      <c r="H2" s="15">
        <v>3.8</v>
      </c>
      <c r="I2" s="15">
        <v>2.4</v>
      </c>
      <c r="J2" s="13">
        <v>1</v>
      </c>
      <c r="K2" s="12"/>
      <c r="L2" s="14" t="e">
        <f>AVERAGE(K2:K16)</f>
        <v>#DIV/0!</v>
      </c>
      <c r="M2" s="14" t="e">
        <f>_xlfn.VAR.S(K2:K16)</f>
        <v>#DIV/0!</v>
      </c>
      <c r="O2" s="15">
        <v>4.2</v>
      </c>
      <c r="P2" s="15">
        <v>1.6</v>
      </c>
      <c r="Q2" s="13">
        <v>1</v>
      </c>
      <c r="R2" s="12"/>
      <c r="S2" s="14" t="e">
        <f>AVERAGE(R2:R16)</f>
        <v>#DIV/0!</v>
      </c>
      <c r="T2" s="14" t="e">
        <f>_xlfn.VAR.S(R2:R16)</f>
        <v>#DIV/0!</v>
      </c>
    </row>
    <row r="3" spans="1:20" ht="15" customHeight="1" x14ac:dyDescent="0.3">
      <c r="A3" s="15"/>
      <c r="B3" s="15"/>
      <c r="C3" s="13">
        <v>2</v>
      </c>
      <c r="D3" s="12"/>
      <c r="E3" s="14"/>
      <c r="F3" s="14"/>
      <c r="H3" s="15"/>
      <c r="I3" s="15"/>
      <c r="J3" s="13">
        <v>2</v>
      </c>
      <c r="K3" s="12"/>
      <c r="L3" s="14"/>
      <c r="M3" s="14"/>
      <c r="O3" s="15"/>
      <c r="P3" s="15"/>
      <c r="Q3" s="13">
        <v>2</v>
      </c>
      <c r="R3" s="12"/>
      <c r="S3" s="14"/>
      <c r="T3" s="14"/>
    </row>
    <row r="4" spans="1:20" ht="15" customHeight="1" x14ac:dyDescent="0.3">
      <c r="A4" s="15"/>
      <c r="B4" s="15"/>
      <c r="C4" s="13">
        <v>3</v>
      </c>
      <c r="D4" s="12"/>
      <c r="E4" s="14"/>
      <c r="F4" s="14"/>
      <c r="H4" s="15"/>
      <c r="I4" s="15"/>
      <c r="J4" s="13">
        <v>3</v>
      </c>
      <c r="K4" s="12"/>
      <c r="L4" s="14"/>
      <c r="M4" s="14"/>
      <c r="O4" s="15"/>
      <c r="P4" s="15"/>
      <c r="Q4" s="13">
        <v>3</v>
      </c>
      <c r="R4" s="12"/>
      <c r="S4" s="14"/>
      <c r="T4" s="14"/>
    </row>
    <row r="5" spans="1:20" ht="15" customHeight="1" x14ac:dyDescent="0.3">
      <c r="A5" s="15"/>
      <c r="B5" s="15"/>
      <c r="C5" s="13">
        <v>4</v>
      </c>
      <c r="D5" s="12"/>
      <c r="E5" s="14"/>
      <c r="F5" s="14"/>
      <c r="H5" s="15"/>
      <c r="I5" s="15"/>
      <c r="J5" s="13">
        <v>4</v>
      </c>
      <c r="K5" s="12"/>
      <c r="L5" s="14"/>
      <c r="M5" s="14"/>
      <c r="O5" s="15"/>
      <c r="P5" s="15"/>
      <c r="Q5" s="13">
        <v>4</v>
      </c>
      <c r="R5" s="12"/>
      <c r="S5" s="14"/>
      <c r="T5" s="14"/>
    </row>
    <row r="6" spans="1:20" ht="15" customHeight="1" x14ac:dyDescent="0.3">
      <c r="A6" s="15"/>
      <c r="B6" s="15"/>
      <c r="C6" s="13">
        <v>5</v>
      </c>
      <c r="D6" s="12"/>
      <c r="E6" s="14"/>
      <c r="F6" s="14"/>
      <c r="H6" s="15"/>
      <c r="I6" s="15"/>
      <c r="J6" s="13">
        <v>5</v>
      </c>
      <c r="K6" s="12"/>
      <c r="L6" s="14"/>
      <c r="M6" s="14"/>
      <c r="O6" s="15"/>
      <c r="P6" s="15"/>
      <c r="Q6" s="13">
        <v>5</v>
      </c>
      <c r="R6" s="12"/>
      <c r="S6" s="14"/>
      <c r="T6" s="14"/>
    </row>
    <row r="7" spans="1:20" ht="15" customHeight="1" x14ac:dyDescent="0.3">
      <c r="A7" s="15"/>
      <c r="B7" s="15"/>
      <c r="C7" s="13">
        <v>6</v>
      </c>
      <c r="D7" s="12"/>
      <c r="E7" s="14"/>
      <c r="F7" s="14"/>
      <c r="H7" s="15"/>
      <c r="I7" s="15"/>
      <c r="J7" s="13">
        <v>6</v>
      </c>
      <c r="K7" s="12"/>
      <c r="L7" s="14"/>
      <c r="M7" s="14"/>
      <c r="O7" s="15"/>
      <c r="P7" s="15"/>
      <c r="Q7" s="13">
        <v>6</v>
      </c>
      <c r="R7" s="12"/>
      <c r="S7" s="14"/>
      <c r="T7" s="14"/>
    </row>
    <row r="8" spans="1:20" ht="15" customHeight="1" x14ac:dyDescent="0.3">
      <c r="A8" s="15"/>
      <c r="B8" s="15"/>
      <c r="C8" s="13">
        <v>7</v>
      </c>
      <c r="D8" s="12"/>
      <c r="E8" s="14"/>
      <c r="F8" s="14"/>
      <c r="H8" s="15"/>
      <c r="I8" s="15"/>
      <c r="J8" s="13">
        <v>7</v>
      </c>
      <c r="K8" s="12"/>
      <c r="L8" s="14"/>
      <c r="M8" s="14"/>
      <c r="O8" s="15"/>
      <c r="P8" s="15"/>
      <c r="Q8" s="13">
        <v>7</v>
      </c>
      <c r="R8" s="12"/>
      <c r="S8" s="14"/>
      <c r="T8" s="14"/>
    </row>
    <row r="9" spans="1:20" ht="15" customHeight="1" x14ac:dyDescent="0.3">
      <c r="A9" s="15"/>
      <c r="B9" s="15"/>
      <c r="C9" s="13">
        <v>8</v>
      </c>
      <c r="D9" s="12"/>
      <c r="E9" s="14"/>
      <c r="F9" s="14"/>
      <c r="H9" s="15"/>
      <c r="I9" s="15"/>
      <c r="J9" s="13">
        <v>8</v>
      </c>
      <c r="K9" s="12"/>
      <c r="L9" s="14"/>
      <c r="M9" s="14"/>
      <c r="O9" s="15"/>
      <c r="P9" s="15"/>
      <c r="Q9" s="13">
        <v>8</v>
      </c>
      <c r="R9" s="12"/>
      <c r="S9" s="14"/>
      <c r="T9" s="14"/>
    </row>
    <row r="10" spans="1:20" ht="15" customHeight="1" x14ac:dyDescent="0.3">
      <c r="A10" s="15"/>
      <c r="B10" s="15"/>
      <c r="C10" s="13">
        <v>9</v>
      </c>
      <c r="D10" s="12"/>
      <c r="E10" s="14"/>
      <c r="F10" s="14"/>
      <c r="H10" s="15"/>
      <c r="I10" s="15"/>
      <c r="J10" s="13">
        <v>9</v>
      </c>
      <c r="K10" s="12"/>
      <c r="L10" s="14"/>
      <c r="M10" s="14"/>
      <c r="O10" s="15"/>
      <c r="P10" s="15"/>
      <c r="Q10" s="13">
        <v>9</v>
      </c>
      <c r="R10" s="12"/>
      <c r="S10" s="14"/>
      <c r="T10" s="14"/>
    </row>
    <row r="11" spans="1:20" ht="15" customHeight="1" x14ac:dyDescent="0.3">
      <c r="A11" s="15"/>
      <c r="B11" s="15"/>
      <c r="C11" s="13">
        <v>10</v>
      </c>
      <c r="D11" s="12"/>
      <c r="E11" s="14"/>
      <c r="F11" s="14"/>
      <c r="H11" s="15"/>
      <c r="I11" s="15"/>
      <c r="J11" s="13">
        <v>10</v>
      </c>
      <c r="K11" s="12"/>
      <c r="L11" s="14"/>
      <c r="M11" s="14"/>
      <c r="O11" s="15"/>
      <c r="P11" s="15"/>
      <c r="Q11" s="13">
        <v>10</v>
      </c>
      <c r="R11" s="12"/>
      <c r="S11" s="14"/>
      <c r="T11" s="14"/>
    </row>
    <row r="12" spans="1:20" ht="15" customHeight="1" x14ac:dyDescent="0.3">
      <c r="A12" s="15"/>
      <c r="B12" s="15"/>
      <c r="C12" s="13">
        <v>11</v>
      </c>
      <c r="D12" s="12"/>
      <c r="E12" s="14"/>
      <c r="F12" s="14"/>
      <c r="H12" s="15"/>
      <c r="I12" s="15"/>
      <c r="J12" s="13">
        <v>11</v>
      </c>
      <c r="K12" s="12"/>
      <c r="L12" s="14"/>
      <c r="M12" s="14"/>
      <c r="O12" s="15"/>
      <c r="P12" s="15"/>
      <c r="Q12" s="13">
        <v>11</v>
      </c>
      <c r="R12" s="12"/>
      <c r="S12" s="14"/>
      <c r="T12" s="14"/>
    </row>
    <row r="13" spans="1:20" ht="15" customHeight="1" x14ac:dyDescent="0.3">
      <c r="A13" s="15"/>
      <c r="B13" s="15"/>
      <c r="C13" s="13">
        <v>12</v>
      </c>
      <c r="D13" s="12"/>
      <c r="E13" s="14"/>
      <c r="F13" s="14"/>
      <c r="H13" s="15"/>
      <c r="I13" s="15"/>
      <c r="J13" s="13">
        <v>12</v>
      </c>
      <c r="K13" s="12"/>
      <c r="L13" s="14"/>
      <c r="M13" s="14"/>
      <c r="O13" s="15"/>
      <c r="P13" s="15"/>
      <c r="Q13" s="13">
        <v>12</v>
      </c>
      <c r="R13" s="12"/>
      <c r="S13" s="14"/>
      <c r="T13" s="14"/>
    </row>
    <row r="14" spans="1:20" ht="15" customHeight="1" x14ac:dyDescent="0.3">
      <c r="A14" s="15"/>
      <c r="B14" s="15"/>
      <c r="C14" s="13">
        <v>13</v>
      </c>
      <c r="D14" s="12"/>
      <c r="E14" s="14"/>
      <c r="F14" s="14"/>
      <c r="H14" s="15"/>
      <c r="I14" s="15"/>
      <c r="J14" s="13">
        <v>13</v>
      </c>
      <c r="K14" s="12"/>
      <c r="L14" s="14"/>
      <c r="M14" s="14"/>
      <c r="O14" s="15"/>
      <c r="P14" s="15"/>
      <c r="Q14" s="13">
        <v>13</v>
      </c>
      <c r="R14" s="12"/>
      <c r="S14" s="14"/>
      <c r="T14" s="14"/>
    </row>
    <row r="15" spans="1:20" ht="15" customHeight="1" x14ac:dyDescent="0.3">
      <c r="A15" s="15"/>
      <c r="B15" s="15"/>
      <c r="C15" s="13">
        <v>14</v>
      </c>
      <c r="D15" s="12"/>
      <c r="E15" s="14"/>
      <c r="F15" s="14"/>
      <c r="H15" s="15"/>
      <c r="I15" s="15"/>
      <c r="J15" s="13">
        <v>14</v>
      </c>
      <c r="K15" s="12"/>
      <c r="L15" s="14"/>
      <c r="M15" s="14"/>
      <c r="O15" s="15"/>
      <c r="P15" s="15"/>
      <c r="Q15" s="13">
        <v>14</v>
      </c>
      <c r="R15" s="12"/>
      <c r="S15" s="14"/>
      <c r="T15" s="14"/>
    </row>
    <row r="16" spans="1:20" ht="15" customHeight="1" x14ac:dyDescent="0.3">
      <c r="A16" s="15"/>
      <c r="B16" s="15"/>
      <c r="C16" s="13">
        <v>15</v>
      </c>
      <c r="D16" s="12"/>
      <c r="E16" s="14"/>
      <c r="F16" s="14"/>
      <c r="H16" s="15"/>
      <c r="I16" s="15"/>
      <c r="J16" s="13">
        <v>15</v>
      </c>
      <c r="K16" s="12"/>
      <c r="L16" s="14"/>
      <c r="M16" s="14"/>
      <c r="O16" s="15"/>
      <c r="P16" s="15"/>
      <c r="Q16" s="13">
        <v>15</v>
      </c>
      <c r="R16" s="12"/>
      <c r="S16" s="14"/>
      <c r="T16" s="14"/>
    </row>
    <row r="18" spans="1:20" ht="15" customHeight="1" x14ac:dyDescent="0.3">
      <c r="A18" s="11" t="s">
        <v>62</v>
      </c>
      <c r="B18" s="11" t="s">
        <v>63</v>
      </c>
      <c r="C18" s="11" t="s">
        <v>64</v>
      </c>
      <c r="D18" s="11" t="s">
        <v>65</v>
      </c>
      <c r="E18" s="11" t="s">
        <v>66</v>
      </c>
      <c r="F18" s="11" t="s">
        <v>67</v>
      </c>
      <c r="H18" s="11" t="s">
        <v>62</v>
      </c>
      <c r="I18" s="11" t="s">
        <v>63</v>
      </c>
      <c r="J18" s="11" t="s">
        <v>64</v>
      </c>
      <c r="K18" s="11" t="s">
        <v>65</v>
      </c>
      <c r="L18" s="11" t="s">
        <v>66</v>
      </c>
      <c r="M18" s="11" t="s">
        <v>67</v>
      </c>
      <c r="O18" s="11" t="s">
        <v>62</v>
      </c>
      <c r="P18" s="11" t="s">
        <v>63</v>
      </c>
      <c r="Q18" s="11" t="s">
        <v>64</v>
      </c>
      <c r="R18" s="11" t="s">
        <v>65</v>
      </c>
      <c r="S18" s="11" t="s">
        <v>66</v>
      </c>
      <c r="T18" s="11" t="s">
        <v>67</v>
      </c>
    </row>
    <row r="19" spans="1:20" ht="15" customHeight="1" x14ac:dyDescent="0.3">
      <c r="A19" s="15">
        <v>3.8</v>
      </c>
      <c r="B19" s="15">
        <v>3.2</v>
      </c>
      <c r="C19" s="13">
        <v>1</v>
      </c>
      <c r="D19" s="12"/>
      <c r="E19" s="14" t="e">
        <f>AVERAGE(D19:D33)</f>
        <v>#DIV/0!</v>
      </c>
      <c r="F19" s="14" t="e">
        <f>_xlfn.VAR.S(D19:D33)</f>
        <v>#DIV/0!</v>
      </c>
      <c r="H19" s="15">
        <v>5.4</v>
      </c>
      <c r="I19" s="15">
        <v>2.8</v>
      </c>
      <c r="J19" s="13">
        <v>1</v>
      </c>
      <c r="K19" s="12"/>
      <c r="L19" s="14" t="e">
        <f>AVERAGE(K19:K33)</f>
        <v>#DIV/0!</v>
      </c>
      <c r="M19" s="14" t="e">
        <f>_xlfn.VAR.S(K19:K33)</f>
        <v>#DIV/0!</v>
      </c>
      <c r="O19" s="15">
        <v>5</v>
      </c>
      <c r="P19" s="15">
        <v>1.2</v>
      </c>
      <c r="Q19" s="13">
        <v>1</v>
      </c>
      <c r="R19" s="12"/>
      <c r="S19" s="14" t="e">
        <f>AVERAGE(R19:R33)</f>
        <v>#DIV/0!</v>
      </c>
      <c r="T19" s="14" t="e">
        <f>_xlfn.VAR.S(R19:R33)</f>
        <v>#DIV/0!</v>
      </c>
    </row>
    <row r="20" spans="1:20" ht="15" customHeight="1" x14ac:dyDescent="0.3">
      <c r="A20" s="15"/>
      <c r="B20" s="15"/>
      <c r="C20" s="13">
        <v>2</v>
      </c>
      <c r="D20" s="12"/>
      <c r="E20" s="14"/>
      <c r="F20" s="14"/>
      <c r="H20" s="15"/>
      <c r="I20" s="15"/>
      <c r="J20" s="13">
        <v>2</v>
      </c>
      <c r="K20" s="12"/>
      <c r="L20" s="14"/>
      <c r="M20" s="14"/>
      <c r="O20" s="15"/>
      <c r="P20" s="15"/>
      <c r="Q20" s="13">
        <v>2</v>
      </c>
      <c r="R20" s="12"/>
      <c r="S20" s="14"/>
      <c r="T20" s="14"/>
    </row>
    <row r="21" spans="1:20" ht="15" customHeight="1" x14ac:dyDescent="0.3">
      <c r="A21" s="15"/>
      <c r="B21" s="15"/>
      <c r="C21" s="13">
        <v>3</v>
      </c>
      <c r="D21" s="12"/>
      <c r="E21" s="14"/>
      <c r="F21" s="14"/>
      <c r="H21" s="15"/>
      <c r="I21" s="15"/>
      <c r="J21" s="13">
        <v>3</v>
      </c>
      <c r="K21" s="12"/>
      <c r="L21" s="14"/>
      <c r="M21" s="14"/>
      <c r="O21" s="15"/>
      <c r="P21" s="15"/>
      <c r="Q21" s="13">
        <v>3</v>
      </c>
      <c r="R21" s="12"/>
      <c r="S21" s="14"/>
      <c r="T21" s="14"/>
    </row>
    <row r="22" spans="1:20" ht="15" customHeight="1" x14ac:dyDescent="0.3">
      <c r="A22" s="15"/>
      <c r="B22" s="15"/>
      <c r="C22" s="13">
        <v>4</v>
      </c>
      <c r="D22" s="12"/>
      <c r="E22" s="14"/>
      <c r="F22" s="14"/>
      <c r="H22" s="15"/>
      <c r="I22" s="15"/>
      <c r="J22" s="13">
        <v>4</v>
      </c>
      <c r="K22" s="12"/>
      <c r="L22" s="14"/>
      <c r="M22" s="14"/>
      <c r="O22" s="15"/>
      <c r="P22" s="15"/>
      <c r="Q22" s="13">
        <v>4</v>
      </c>
      <c r="R22" s="12"/>
      <c r="S22" s="14"/>
      <c r="T22" s="14"/>
    </row>
    <row r="23" spans="1:20" ht="15" customHeight="1" x14ac:dyDescent="0.3">
      <c r="A23" s="15"/>
      <c r="B23" s="15"/>
      <c r="C23" s="13">
        <v>5</v>
      </c>
      <c r="D23" s="12"/>
      <c r="E23" s="14"/>
      <c r="F23" s="14"/>
      <c r="H23" s="15"/>
      <c r="I23" s="15"/>
      <c r="J23" s="13">
        <v>5</v>
      </c>
      <c r="K23" s="12"/>
      <c r="L23" s="14"/>
      <c r="M23" s="14"/>
      <c r="O23" s="15"/>
      <c r="P23" s="15"/>
      <c r="Q23" s="13">
        <v>5</v>
      </c>
      <c r="R23" s="12"/>
      <c r="S23" s="14"/>
      <c r="T23" s="14"/>
    </row>
    <row r="24" spans="1:20" ht="15" customHeight="1" x14ac:dyDescent="0.3">
      <c r="A24" s="15"/>
      <c r="B24" s="15"/>
      <c r="C24" s="13">
        <v>6</v>
      </c>
      <c r="D24" s="12"/>
      <c r="E24" s="14"/>
      <c r="F24" s="14"/>
      <c r="H24" s="15"/>
      <c r="I24" s="15"/>
      <c r="J24" s="13">
        <v>6</v>
      </c>
      <c r="K24" s="12"/>
      <c r="L24" s="14"/>
      <c r="M24" s="14"/>
      <c r="O24" s="15"/>
      <c r="P24" s="15"/>
      <c r="Q24" s="13">
        <v>6</v>
      </c>
      <c r="R24" s="12"/>
      <c r="S24" s="14"/>
      <c r="T24" s="14"/>
    </row>
    <row r="25" spans="1:20" ht="15" customHeight="1" x14ac:dyDescent="0.3">
      <c r="A25" s="15"/>
      <c r="B25" s="15"/>
      <c r="C25" s="13">
        <v>7</v>
      </c>
      <c r="D25" s="12"/>
      <c r="E25" s="14"/>
      <c r="F25" s="14"/>
      <c r="H25" s="15"/>
      <c r="I25" s="15"/>
      <c r="J25" s="13">
        <v>7</v>
      </c>
      <c r="K25" s="12"/>
      <c r="L25" s="14"/>
      <c r="M25" s="14"/>
      <c r="O25" s="15"/>
      <c r="P25" s="15"/>
      <c r="Q25" s="13">
        <v>7</v>
      </c>
      <c r="R25" s="12"/>
      <c r="S25" s="14"/>
      <c r="T25" s="14"/>
    </row>
    <row r="26" spans="1:20" ht="15" customHeight="1" x14ac:dyDescent="0.3">
      <c r="A26" s="15"/>
      <c r="B26" s="15"/>
      <c r="C26" s="13">
        <v>8</v>
      </c>
      <c r="D26" s="12"/>
      <c r="E26" s="14"/>
      <c r="F26" s="14"/>
      <c r="H26" s="15"/>
      <c r="I26" s="15"/>
      <c r="J26" s="13">
        <v>8</v>
      </c>
      <c r="K26" s="12"/>
      <c r="L26" s="14"/>
      <c r="M26" s="14"/>
      <c r="O26" s="15"/>
      <c r="P26" s="15"/>
      <c r="Q26" s="13">
        <v>8</v>
      </c>
      <c r="R26" s="12"/>
      <c r="S26" s="14"/>
      <c r="T26" s="14"/>
    </row>
    <row r="27" spans="1:20" ht="15" customHeight="1" x14ac:dyDescent="0.3">
      <c r="A27" s="15"/>
      <c r="B27" s="15"/>
      <c r="C27" s="13">
        <v>9</v>
      </c>
      <c r="D27" s="12"/>
      <c r="E27" s="14"/>
      <c r="F27" s="14"/>
      <c r="H27" s="15"/>
      <c r="I27" s="15"/>
      <c r="J27" s="13">
        <v>9</v>
      </c>
      <c r="K27" s="12"/>
      <c r="L27" s="14"/>
      <c r="M27" s="14"/>
      <c r="O27" s="15"/>
      <c r="P27" s="15"/>
      <c r="Q27" s="13">
        <v>9</v>
      </c>
      <c r="R27" s="12"/>
      <c r="S27" s="14"/>
      <c r="T27" s="14"/>
    </row>
    <row r="28" spans="1:20" ht="15" customHeight="1" x14ac:dyDescent="0.3">
      <c r="A28" s="15"/>
      <c r="B28" s="15"/>
      <c r="C28" s="13">
        <v>10</v>
      </c>
      <c r="D28" s="12"/>
      <c r="E28" s="14"/>
      <c r="F28" s="14"/>
      <c r="H28" s="15"/>
      <c r="I28" s="15"/>
      <c r="J28" s="13">
        <v>10</v>
      </c>
      <c r="K28" s="12"/>
      <c r="L28" s="14"/>
      <c r="M28" s="14"/>
      <c r="O28" s="15"/>
      <c r="P28" s="15"/>
      <c r="Q28" s="13">
        <v>10</v>
      </c>
      <c r="R28" s="12"/>
      <c r="S28" s="14"/>
      <c r="T28" s="14"/>
    </row>
    <row r="29" spans="1:20" ht="15" customHeight="1" x14ac:dyDescent="0.3">
      <c r="A29" s="15"/>
      <c r="B29" s="15"/>
      <c r="C29" s="13">
        <v>11</v>
      </c>
      <c r="D29" s="12"/>
      <c r="E29" s="14"/>
      <c r="F29" s="14"/>
      <c r="H29" s="15"/>
      <c r="I29" s="15"/>
      <c r="J29" s="13">
        <v>11</v>
      </c>
      <c r="K29" s="12"/>
      <c r="L29" s="14"/>
      <c r="M29" s="14"/>
      <c r="O29" s="15"/>
      <c r="P29" s="15"/>
      <c r="Q29" s="13">
        <v>11</v>
      </c>
      <c r="R29" s="12"/>
      <c r="S29" s="14"/>
      <c r="T29" s="14"/>
    </row>
    <row r="30" spans="1:20" ht="15" customHeight="1" x14ac:dyDescent="0.3">
      <c r="A30" s="15"/>
      <c r="B30" s="15"/>
      <c r="C30" s="13">
        <v>12</v>
      </c>
      <c r="D30" s="12"/>
      <c r="E30" s="14"/>
      <c r="F30" s="14"/>
      <c r="H30" s="15"/>
      <c r="I30" s="15"/>
      <c r="J30" s="13">
        <v>12</v>
      </c>
      <c r="K30" s="12"/>
      <c r="L30" s="14"/>
      <c r="M30" s="14"/>
      <c r="O30" s="15"/>
      <c r="P30" s="15"/>
      <c r="Q30" s="13">
        <v>12</v>
      </c>
      <c r="R30" s="12"/>
      <c r="S30" s="14"/>
      <c r="T30" s="14"/>
    </row>
    <row r="31" spans="1:20" ht="15" customHeight="1" x14ac:dyDescent="0.3">
      <c r="A31" s="15"/>
      <c r="B31" s="15"/>
      <c r="C31" s="13">
        <v>13</v>
      </c>
      <c r="D31" s="12"/>
      <c r="E31" s="14"/>
      <c r="F31" s="14"/>
      <c r="H31" s="15"/>
      <c r="I31" s="15"/>
      <c r="J31" s="13">
        <v>13</v>
      </c>
      <c r="K31" s="12"/>
      <c r="L31" s="14"/>
      <c r="M31" s="14"/>
      <c r="O31" s="15"/>
      <c r="P31" s="15"/>
      <c r="Q31" s="13">
        <v>13</v>
      </c>
      <c r="R31" s="12"/>
      <c r="S31" s="14"/>
      <c r="T31" s="14"/>
    </row>
    <row r="32" spans="1:20" ht="15" customHeight="1" x14ac:dyDescent="0.3">
      <c r="A32" s="15"/>
      <c r="B32" s="15"/>
      <c r="C32" s="13">
        <v>14</v>
      </c>
      <c r="D32" s="12"/>
      <c r="E32" s="14"/>
      <c r="F32" s="14"/>
      <c r="H32" s="15"/>
      <c r="I32" s="15"/>
      <c r="J32" s="13">
        <v>14</v>
      </c>
      <c r="K32" s="12"/>
      <c r="L32" s="14"/>
      <c r="M32" s="14"/>
      <c r="O32" s="15"/>
      <c r="P32" s="15"/>
      <c r="Q32" s="13">
        <v>14</v>
      </c>
      <c r="R32" s="12"/>
      <c r="S32" s="14"/>
      <c r="T32" s="14"/>
    </row>
    <row r="33" spans="1:20" ht="15" customHeight="1" x14ac:dyDescent="0.3">
      <c r="A33" s="15"/>
      <c r="B33" s="15"/>
      <c r="C33" s="13">
        <v>15</v>
      </c>
      <c r="D33" s="12"/>
      <c r="E33" s="14"/>
      <c r="F33" s="14"/>
      <c r="H33" s="15"/>
      <c r="I33" s="15"/>
      <c r="J33" s="13">
        <v>15</v>
      </c>
      <c r="K33" s="12"/>
      <c r="L33" s="14"/>
      <c r="M33" s="14"/>
      <c r="O33" s="15"/>
      <c r="P33" s="15"/>
      <c r="Q33" s="13">
        <v>15</v>
      </c>
      <c r="R33" s="12"/>
      <c r="S33" s="14"/>
      <c r="T33" s="14"/>
    </row>
    <row r="35" spans="1:20" ht="15" customHeight="1" x14ac:dyDescent="0.3">
      <c r="A35" s="11" t="s">
        <v>68</v>
      </c>
      <c r="B35" s="15" t="s">
        <v>70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</row>
  </sheetData>
  <mergeCells count="25">
    <mergeCell ref="L19:L33"/>
    <mergeCell ref="M19:M33"/>
    <mergeCell ref="B35:T35"/>
    <mergeCell ref="O19:O33"/>
    <mergeCell ref="P19:P33"/>
    <mergeCell ref="S19:S33"/>
    <mergeCell ref="T19:T33"/>
    <mergeCell ref="I19:I33"/>
    <mergeCell ref="A19:A33"/>
    <mergeCell ref="B19:B33"/>
    <mergeCell ref="E19:E33"/>
    <mergeCell ref="F19:F33"/>
    <mergeCell ref="H19:H33"/>
    <mergeCell ref="T2:T16"/>
    <mergeCell ref="A2:A16"/>
    <mergeCell ref="B2:B16"/>
    <mergeCell ref="E2:E16"/>
    <mergeCell ref="F2:F16"/>
    <mergeCell ref="H2:H16"/>
    <mergeCell ref="I2:I16"/>
    <mergeCell ref="L2:L16"/>
    <mergeCell ref="M2:M16"/>
    <mergeCell ref="O2:O16"/>
    <mergeCell ref="P2:P16"/>
    <mergeCell ref="S2:S16"/>
  </mergeCells>
  <phoneticPr fontId="1" type="noConversion"/>
  <conditionalFormatting sqref="D2:D1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D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1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38</vt:i4>
      </vt:variant>
    </vt:vector>
  </HeadingPairs>
  <TitlesOfParts>
    <vt:vector size="38" baseType="lpstr">
      <vt:lpstr>README</vt:lpstr>
      <vt:lpstr>SETUP</vt:lpstr>
      <vt:lpstr>FANS</vt:lpstr>
      <vt:lpstr>z020</vt:lpstr>
      <vt:lpstr>z020_TS</vt:lpstr>
      <vt:lpstr>z020_Slower</vt:lpstr>
      <vt:lpstr>z020_Lower</vt:lpstr>
      <vt:lpstr>z020_Higher</vt:lpstr>
      <vt:lpstr>z035</vt:lpstr>
      <vt:lpstr>z035_TS</vt:lpstr>
      <vt:lpstr>z035_Slower</vt:lpstr>
      <vt:lpstr>z035_Lower</vt:lpstr>
      <vt:lpstr>z035_Higher</vt:lpstr>
      <vt:lpstr>z050</vt:lpstr>
      <vt:lpstr>z050_TS</vt:lpstr>
      <vt:lpstr>z050_Slower</vt:lpstr>
      <vt:lpstr>z050_Lower</vt:lpstr>
      <vt:lpstr>z050_Higher</vt:lpstr>
      <vt:lpstr>z075</vt:lpstr>
      <vt:lpstr>z075_TS</vt:lpstr>
      <vt:lpstr>z075_Slower</vt:lpstr>
      <vt:lpstr>z075_Lower</vt:lpstr>
      <vt:lpstr>z075_Higher</vt:lpstr>
      <vt:lpstr>z110</vt:lpstr>
      <vt:lpstr>z110_TS</vt:lpstr>
      <vt:lpstr>z110_Slower</vt:lpstr>
      <vt:lpstr>z110_Lower</vt:lpstr>
      <vt:lpstr>z110_Higher</vt:lpstr>
      <vt:lpstr>z160</vt:lpstr>
      <vt:lpstr>z160_TS</vt:lpstr>
      <vt:lpstr>z160_Slower</vt:lpstr>
      <vt:lpstr>z160_Lower</vt:lpstr>
      <vt:lpstr>z160_Higher</vt:lpstr>
      <vt:lpstr>z220</vt:lpstr>
      <vt:lpstr>z220_TS</vt:lpstr>
      <vt:lpstr>z220_Slower</vt:lpstr>
      <vt:lpstr>z220_Lower</vt:lpstr>
      <vt:lpstr>z220_Higher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Hanchen Li</dc:creator>
  <cp:lastModifiedBy>Hanchen Li</cp:lastModifiedBy>
  <dcterms:created xsi:type="dcterms:W3CDTF">2015-06-05T18:19:34Z</dcterms:created>
  <dcterms:modified xsi:type="dcterms:W3CDTF">2026-01-24T19:10:42Z</dcterms:modified>
</cp:coreProperties>
</file>