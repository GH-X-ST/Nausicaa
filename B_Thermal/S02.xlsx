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B_Thermal/"/>
    </mc:Choice>
  </mc:AlternateContent>
  <xr:revisionPtr revIDLastSave="4471" documentId="8_{76318ECD-2708-074C-A97C-F91BD5AAD85F}" xr6:coauthVersionLast="47" xr6:coauthVersionMax="47" xr10:uidLastSave="{614E91B1-BB35-4F74-BBDB-146F446C3504}"/>
  <bookViews>
    <workbookView xWindow="-110" yWindow="-110" windowWidth="25820" windowHeight="13900" firstSheet="5" activeTab="16" xr2:uid="{00000000-000D-0000-FFFF-FFFF00000000}"/>
  </bookViews>
  <sheets>
    <sheet name="README" sheetId="1" r:id="rId1"/>
    <sheet name="SETUP" sheetId="3" r:id="rId2"/>
    <sheet name="FANS" sheetId="5" r:id="rId3"/>
    <sheet name="z020" sheetId="14" r:id="rId4"/>
    <sheet name="z020_TS" sheetId="22" r:id="rId5"/>
    <sheet name="z035" sheetId="16" r:id="rId6"/>
    <sheet name="z035_TS" sheetId="23" r:id="rId7"/>
    <sheet name="z050" sheetId="17" r:id="rId8"/>
    <sheet name="z050_TS" sheetId="24" r:id="rId9"/>
    <sheet name="z075" sheetId="18" r:id="rId10"/>
    <sheet name="z075_TS" sheetId="25" r:id="rId11"/>
    <sheet name="z110" sheetId="19" r:id="rId12"/>
    <sheet name="z110_TS" sheetId="26" r:id="rId13"/>
    <sheet name="z160" sheetId="20" r:id="rId14"/>
    <sheet name="z160_TS" sheetId="27" r:id="rId15"/>
    <sheet name="z220" sheetId="21" r:id="rId16"/>
    <sheet name="z220_TS" sheetId="28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E1" i="17"/>
  <c r="F1" i="17"/>
  <c r="G1" i="17"/>
  <c r="H1" i="17"/>
  <c r="I1" i="17"/>
  <c r="J1" i="17"/>
  <c r="T19" i="28"/>
  <c r="S19" i="28"/>
  <c r="M19" i="28"/>
  <c r="L19" i="28"/>
  <c r="F19" i="28"/>
  <c r="E19" i="28"/>
  <c r="T2" i="28"/>
  <c r="S2" i="28"/>
  <c r="M2" i="28"/>
  <c r="L2" i="28"/>
  <c r="F2" i="28"/>
  <c r="E2" i="28"/>
  <c r="T19" i="27"/>
  <c r="S19" i="27"/>
  <c r="M19" i="27"/>
  <c r="L19" i="27"/>
  <c r="F19" i="27"/>
  <c r="E19" i="27"/>
  <c r="T2" i="27"/>
  <c r="S2" i="27"/>
  <c r="M2" i="27"/>
  <c r="L2" i="27"/>
  <c r="F2" i="27"/>
  <c r="E2" i="27"/>
  <c r="T19" i="26"/>
  <c r="S19" i="26"/>
  <c r="M19" i="26"/>
  <c r="L19" i="26"/>
  <c r="F19" i="26"/>
  <c r="E19" i="26"/>
  <c r="T2" i="26"/>
  <c r="S2" i="26"/>
  <c r="M2" i="26"/>
  <c r="L2" i="26"/>
  <c r="F2" i="26"/>
  <c r="E2" i="26"/>
  <c r="T19" i="25"/>
  <c r="S19" i="25"/>
  <c r="M19" i="25"/>
  <c r="L19" i="25"/>
  <c r="F19" i="25"/>
  <c r="E19" i="25"/>
  <c r="T2" i="25"/>
  <c r="S2" i="25"/>
  <c r="M2" i="25"/>
  <c r="L2" i="25"/>
  <c r="F2" i="25"/>
  <c r="E2" i="25"/>
  <c r="T19" i="24"/>
  <c r="S19" i="24"/>
  <c r="M19" i="24"/>
  <c r="L19" i="24"/>
  <c r="F19" i="24"/>
  <c r="E19" i="24"/>
  <c r="T2" i="24"/>
  <c r="S2" i="24"/>
  <c r="M2" i="24"/>
  <c r="L2" i="24"/>
  <c r="F2" i="24"/>
  <c r="E2" i="24"/>
  <c r="T19" i="23"/>
  <c r="S19" i="23"/>
  <c r="M19" i="23"/>
  <c r="L19" i="23"/>
  <c r="F19" i="23"/>
  <c r="E19" i="23"/>
  <c r="T2" i="23"/>
  <c r="S2" i="23"/>
  <c r="M2" i="23"/>
  <c r="L2" i="23"/>
  <c r="F2" i="23"/>
  <c r="E2" i="23"/>
  <c r="T19" i="22"/>
  <c r="S19" i="22"/>
  <c r="M19" i="22"/>
  <c r="L19" i="22"/>
  <c r="F19" i="22"/>
  <c r="E19" i="22"/>
  <c r="T2" i="22"/>
  <c r="S2" i="22"/>
  <c r="M2" i="22"/>
  <c r="L2" i="22"/>
  <c r="F2" i="22"/>
  <c r="E2" i="22"/>
  <c r="E1" i="21"/>
  <c r="F1" i="21"/>
  <c r="G1" i="21"/>
  <c r="H1" i="21"/>
  <c r="I1" i="21"/>
  <c r="J1" i="21"/>
  <c r="K1" i="21"/>
  <c r="L1" i="21"/>
  <c r="M1" i="21"/>
  <c r="N1" i="21"/>
  <c r="E1" i="20"/>
  <c r="F1" i="20"/>
  <c r="G1" i="20"/>
  <c r="H1" i="20"/>
  <c r="I1" i="20"/>
  <c r="J1" i="20"/>
  <c r="K1" i="20"/>
  <c r="L1" i="20"/>
  <c r="M1" i="20"/>
  <c r="N1" i="20"/>
  <c r="E1" i="19"/>
  <c r="F1" i="19"/>
  <c r="G1" i="19"/>
  <c r="H1" i="19"/>
  <c r="I1" i="19"/>
  <c r="J1" i="19"/>
  <c r="K1" i="19"/>
  <c r="L1" i="19"/>
  <c r="M1" i="19"/>
  <c r="N1" i="19"/>
  <c r="E1" i="18"/>
  <c r="F1" i="18"/>
  <c r="G1" i="18"/>
  <c r="H1" i="18"/>
  <c r="I1" i="18"/>
  <c r="J1" i="18"/>
  <c r="K1" i="18"/>
  <c r="L1" i="18"/>
  <c r="M1" i="18"/>
  <c r="N1" i="18"/>
  <c r="K1" i="17"/>
  <c r="L1" i="17"/>
  <c r="M1" i="17"/>
  <c r="N1" i="17"/>
  <c r="E1" i="16"/>
  <c r="F1" i="16"/>
  <c r="G1" i="16"/>
  <c r="H1" i="16"/>
  <c r="I1" i="16"/>
  <c r="J1" i="16"/>
  <c r="K1" i="16"/>
  <c r="L1" i="16"/>
  <c r="M1" i="16"/>
  <c r="N1" i="16"/>
  <c r="E1" i="14"/>
  <c r="F1" i="14"/>
  <c r="G1" i="14"/>
  <c r="H1" i="14"/>
  <c r="I1" i="14" s="1"/>
  <c r="J1" i="14" s="1"/>
  <c r="K1" i="14" s="1"/>
  <c r="L1" i="14" s="1"/>
  <c r="M1" i="14" s="1"/>
  <c r="N1" i="14" s="1"/>
</calcChain>
</file>

<file path=xl/sharedStrings.xml><?xml version="1.0" encoding="utf-8"?>
<sst xmlns="http://schemas.openxmlformats.org/spreadsheetml/2006/main" count="354" uniqueCount="73">
  <si>
    <t>Title</t>
    <phoneticPr fontId="1" type="noConversion"/>
  </si>
  <si>
    <t>Date</t>
  </si>
  <si>
    <t>Operator</t>
    <phoneticPr fontId="1" type="noConversion"/>
  </si>
  <si>
    <t>Experimental Measurement of Fan-Generated Indoor Thermals</t>
    <phoneticPr fontId="1" type="noConversion"/>
  </si>
  <si>
    <t>Hanchen Li</t>
    <phoneticPr fontId="1" type="noConversion"/>
  </si>
  <si>
    <t>Instrument</t>
    <phoneticPr fontId="1" type="noConversion"/>
  </si>
  <si>
    <t>BENETECH GM8903 Hot Wire Anemometer</t>
    <phoneticPr fontId="1" type="noConversion"/>
  </si>
  <si>
    <t>Location</t>
    <phoneticPr fontId="1" type="noConversion"/>
  </si>
  <si>
    <t>Flight Arena (CAGB 530)</t>
    <phoneticPr fontId="1" type="noConversion"/>
  </si>
  <si>
    <t>0 - 30</t>
    <phoneticPr fontId="1" type="noConversion"/>
  </si>
  <si>
    <t>8.0 × 5.0 × 3.5</t>
    <phoneticPr fontId="1" type="noConversion"/>
  </si>
  <si>
    <r>
      <t xml:space="preserve">Velocity resolution </t>
    </r>
    <r>
      <rPr>
        <sz val="11"/>
        <color theme="1"/>
        <rFont val="Arial"/>
        <family val="2"/>
      </rPr>
      <t>(m/s)</t>
    </r>
    <phoneticPr fontId="1" type="noConversion"/>
  </si>
  <si>
    <t>Experiment Information</t>
    <phoneticPr fontId="1" type="noConversion"/>
  </si>
  <si>
    <t>Measurement Environment</t>
    <phoneticPr fontId="1" type="noConversion"/>
  </si>
  <si>
    <t>Coordinate system</t>
    <phoneticPr fontId="1" type="noConversion"/>
  </si>
  <si>
    <t>Instrumentation</t>
    <phoneticPr fontId="1" type="noConversion"/>
  </si>
  <si>
    <t>Measured quantities</t>
    <phoneticPr fontId="1" type="noConversion"/>
  </si>
  <si>
    <r>
      <t xml:space="preserve">Size </t>
    </r>
    <r>
      <rPr>
        <sz val="11"/>
        <color theme="1"/>
        <rFont val="Arial"/>
        <family val="2"/>
      </rPr>
      <t>(m)</t>
    </r>
    <phoneticPr fontId="1" type="noConversion"/>
  </si>
  <si>
    <r>
      <t xml:space="preserve">Velocity range </t>
    </r>
    <r>
      <rPr>
        <sz val="11"/>
        <color theme="1"/>
        <rFont val="Arial"/>
        <family val="2"/>
      </rPr>
      <t>(m/s)</t>
    </r>
    <phoneticPr fontId="1" type="noConversion"/>
  </si>
  <si>
    <t xml:space="preserve">Air velocity magnitude &amp; Air temperature </t>
    <phoneticPr fontId="1" type="noConversion"/>
  </si>
  <si>
    <t>Velocity accuracy</t>
    <phoneticPr fontId="1" type="noConversion"/>
  </si>
  <si>
    <t>±3% ± 0.1 digits</t>
    <phoneticPr fontId="1" type="noConversion"/>
  </si>
  <si>
    <r>
      <t>Temperature range</t>
    </r>
    <r>
      <rPr>
        <sz val="11"/>
        <color theme="1"/>
        <rFont val="Arial"/>
        <family val="2"/>
      </rPr>
      <t xml:space="preserve"> (°C)</t>
    </r>
    <phoneticPr fontId="1" type="noConversion"/>
  </si>
  <si>
    <t>Temperature accuracy</t>
    <phoneticPr fontId="1" type="noConversion"/>
  </si>
  <si>
    <t>0 - 45</t>
    <phoneticPr fontId="1" type="noConversion"/>
  </si>
  <si>
    <t>±2°C</t>
    <phoneticPr fontId="1" type="noConversion"/>
  </si>
  <si>
    <t>Fan Configuration</t>
    <phoneticPr fontId="1" type="noConversion"/>
  </si>
  <si>
    <t>Fan model</t>
    <phoneticPr fontId="1" type="noConversion"/>
  </si>
  <si>
    <t>Clarke CAMAX30 30" Extra High Output Drum Fan</t>
    <phoneticPr fontId="1" type="noConversion"/>
  </si>
  <si>
    <t>Fan positions</t>
    <phoneticPr fontId="1" type="noConversion"/>
  </si>
  <si>
    <t>Logged explicitly in the FANS data sheet</t>
    <phoneticPr fontId="1" type="noConversion"/>
  </si>
  <si>
    <t>Setting 2</t>
    <phoneticPr fontId="1" type="noConversion"/>
  </si>
  <si>
    <t>Orientation</t>
    <phoneticPr fontId="1" type="noConversion"/>
  </si>
  <si>
    <t>Vertical upward flow</t>
    <phoneticPr fontId="1" type="noConversion"/>
  </si>
  <si>
    <t>setup_id</t>
    <phoneticPr fontId="1" type="noConversion"/>
  </si>
  <si>
    <t>number_of_fans</t>
    <phoneticPr fontId="1" type="noConversion"/>
  </si>
  <si>
    <t>fan_mode</t>
    <phoneticPr fontId="1" type="noConversion"/>
  </si>
  <si>
    <t>ambient_temp_C</t>
    <phoneticPr fontId="1" type="noConversion"/>
  </si>
  <si>
    <t>doors_closed</t>
    <phoneticPr fontId="1" type="noConversion"/>
  </si>
  <si>
    <t>YES</t>
    <phoneticPr fontId="1" type="noConversion"/>
  </si>
  <si>
    <t>ventilation_on</t>
    <phoneticPr fontId="1" type="noConversion"/>
  </si>
  <si>
    <t>NO</t>
    <phoneticPr fontId="1" type="noConversion"/>
  </si>
  <si>
    <t>notes</t>
    <phoneticPr fontId="1" type="noConversion"/>
  </si>
  <si>
    <t>fan_id</t>
    <phoneticPr fontId="1" type="noConversion"/>
  </si>
  <si>
    <t>F01</t>
    <phoneticPr fontId="1" type="noConversion"/>
  </si>
  <si>
    <t>x_fan</t>
    <phoneticPr fontId="1" type="noConversion"/>
  </si>
  <si>
    <t>y_fan</t>
    <phoneticPr fontId="1" type="noConversion"/>
  </si>
  <si>
    <t>z_fan</t>
    <phoneticPr fontId="1" type="noConversion"/>
  </si>
  <si>
    <t>diameter</t>
    <phoneticPr fontId="1" type="noConversion"/>
  </si>
  <si>
    <t>orientation</t>
    <phoneticPr fontId="1" type="noConversion"/>
  </si>
  <si>
    <t>vertical</t>
    <phoneticPr fontId="1" type="noConversion"/>
  </si>
  <si>
    <t>height</t>
    <phoneticPr fontId="1" type="noConversion"/>
  </si>
  <si>
    <t>Mesurement height</t>
    <phoneticPr fontId="1" type="noConversion"/>
  </si>
  <si>
    <t>Relative to fan outlet 0.20, 0.35, 0.50, 0.75, 1.10, 1.60, 2.20 m</t>
    <phoneticPr fontId="1" type="noConversion"/>
  </si>
  <si>
    <t>y/x</t>
    <phoneticPr fontId="1" type="noConversion"/>
  </si>
  <si>
    <t>(4.0,2.5,0.0) defined at centre of the Vicon system</t>
    <phoneticPr fontId="1" type="noConversion"/>
  </si>
  <si>
    <t>see Project Logbook 12.2</t>
    <phoneticPr fontId="1" type="noConversion"/>
  </si>
  <si>
    <t>upper_left</t>
    <phoneticPr fontId="1" type="noConversion"/>
  </si>
  <si>
    <t>F02</t>
    <phoneticPr fontId="1" type="noConversion"/>
  </si>
  <si>
    <t>upper_right</t>
    <phoneticPr fontId="1" type="noConversion"/>
  </si>
  <si>
    <t>F03</t>
  </si>
  <si>
    <t>bottom_left</t>
    <phoneticPr fontId="1" type="noConversion"/>
  </si>
  <si>
    <t>F04</t>
    <phoneticPr fontId="1" type="noConversion"/>
  </si>
  <si>
    <t>bottom_right</t>
    <phoneticPr fontId="1" type="noConversion"/>
  </si>
  <si>
    <t>S02</t>
    <phoneticPr fontId="1" type="noConversion"/>
  </si>
  <si>
    <t>date</t>
    <phoneticPr fontId="1" type="noConversion"/>
  </si>
  <si>
    <t>26/01/2026</t>
    <phoneticPr fontId="1" type="noConversion"/>
  </si>
  <si>
    <t>x</t>
  </si>
  <si>
    <t>y</t>
  </si>
  <si>
    <t>time</t>
  </si>
  <si>
    <t>w</t>
  </si>
  <si>
    <t>mean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</si>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</sst>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00_);[Red]\(0.000\)"/>
    <numFmt numFmtId="178" formatCode="0.0"/>
    <numFmt numFmtId="179" formatCode="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left" vertical="center"/>
    </xf>
    <xf numFmtId="176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BFFF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7" workbookViewId="0">
      <selection activeCell="B7" sqref="B7"/>
    </sheetView>
  </sheetViews>
  <sheetFormatPr defaultColWidth="8.6640625" defaultRowHeight="22" customHeight="1" x14ac:dyDescent="0.3"/>
  <cols>
    <col min="1" max="1" width="25.58203125" style="2" customWidth="1"/>
    <col min="2" max="2" width="55.5" style="1" customWidth="1"/>
    <col min="3" max="16384" width="8.6640625" style="1"/>
  </cols>
  <sheetData>
    <row r="1" spans="1:2" ht="22" customHeight="1" x14ac:dyDescent="0.3">
      <c r="A1" s="16" t="s">
        <v>12</v>
      </c>
      <c r="B1" s="16"/>
    </row>
    <row r="2" spans="1:2" ht="22" customHeight="1" x14ac:dyDescent="0.3">
      <c r="A2" s="2" t="s">
        <v>0</v>
      </c>
      <c r="B2" s="1" t="s">
        <v>3</v>
      </c>
    </row>
    <row r="3" spans="1:2" ht="22" customHeight="1" x14ac:dyDescent="0.3">
      <c r="A3" s="2" t="s">
        <v>1</v>
      </c>
      <c r="B3" s="1" t="s">
        <v>66</v>
      </c>
    </row>
    <row r="4" spans="1:2" ht="22" customHeight="1" x14ac:dyDescent="0.3">
      <c r="A4" s="2" t="s">
        <v>2</v>
      </c>
      <c r="B4" s="1" t="s">
        <v>4</v>
      </c>
    </row>
    <row r="5" spans="1:2" ht="22" customHeight="1" x14ac:dyDescent="0.3">
      <c r="A5" s="16" t="s">
        <v>13</v>
      </c>
      <c r="B5" s="16"/>
    </row>
    <row r="6" spans="1:2" ht="22" customHeight="1" x14ac:dyDescent="0.3">
      <c r="A6" s="2" t="s">
        <v>7</v>
      </c>
      <c r="B6" s="1" t="s">
        <v>8</v>
      </c>
    </row>
    <row r="7" spans="1:2" ht="22" customHeight="1" x14ac:dyDescent="0.3">
      <c r="A7" s="2" t="s">
        <v>17</v>
      </c>
      <c r="B7" s="1" t="s">
        <v>10</v>
      </c>
    </row>
    <row r="8" spans="1:2" ht="22" customHeight="1" x14ac:dyDescent="0.3">
      <c r="A8" s="2" t="s">
        <v>14</v>
      </c>
      <c r="B8" s="4" t="s">
        <v>55</v>
      </c>
    </row>
    <row r="9" spans="1:2" ht="22" customHeight="1" x14ac:dyDescent="0.3">
      <c r="A9" s="2" t="s">
        <v>52</v>
      </c>
      <c r="B9" s="4" t="s">
        <v>53</v>
      </c>
    </row>
    <row r="10" spans="1:2" ht="22" customHeight="1" x14ac:dyDescent="0.3">
      <c r="A10" s="16" t="s">
        <v>15</v>
      </c>
      <c r="B10" s="16"/>
    </row>
    <row r="11" spans="1:2" ht="22" customHeight="1" x14ac:dyDescent="0.3">
      <c r="A11" s="2" t="s">
        <v>5</v>
      </c>
      <c r="B11" s="1" t="s">
        <v>6</v>
      </c>
    </row>
    <row r="12" spans="1:2" ht="22" customHeight="1" x14ac:dyDescent="0.3">
      <c r="A12" s="2" t="s">
        <v>16</v>
      </c>
      <c r="B12" s="1" t="s">
        <v>19</v>
      </c>
    </row>
    <row r="13" spans="1:2" ht="22" customHeight="1" x14ac:dyDescent="0.3">
      <c r="A13" s="2" t="s">
        <v>18</v>
      </c>
      <c r="B13" s="1" t="s">
        <v>9</v>
      </c>
    </row>
    <row r="14" spans="1:2" ht="22" customHeight="1" x14ac:dyDescent="0.3">
      <c r="A14" s="2" t="s">
        <v>11</v>
      </c>
      <c r="B14" s="1">
        <v>0.1</v>
      </c>
    </row>
    <row r="15" spans="1:2" ht="22" customHeight="1" x14ac:dyDescent="0.3">
      <c r="A15" s="2" t="s">
        <v>20</v>
      </c>
      <c r="B15" s="1" t="s">
        <v>21</v>
      </c>
    </row>
    <row r="16" spans="1:2" ht="22" customHeight="1" x14ac:dyDescent="0.3">
      <c r="A16" s="2" t="s">
        <v>22</v>
      </c>
      <c r="B16" s="1" t="s">
        <v>24</v>
      </c>
    </row>
    <row r="17" spans="1:2" ht="22" customHeight="1" x14ac:dyDescent="0.3">
      <c r="A17" s="2" t="s">
        <v>23</v>
      </c>
      <c r="B17" s="1" t="s">
        <v>25</v>
      </c>
    </row>
    <row r="18" spans="1:2" ht="22" customHeight="1" x14ac:dyDescent="0.3">
      <c r="A18" s="16" t="s">
        <v>26</v>
      </c>
      <c r="B18" s="16"/>
    </row>
    <row r="19" spans="1:2" ht="22" customHeight="1" x14ac:dyDescent="0.3">
      <c r="A19" s="2" t="s">
        <v>27</v>
      </c>
      <c r="B19" s="1" t="s">
        <v>28</v>
      </c>
    </row>
    <row r="20" spans="1:2" ht="22" customHeight="1" x14ac:dyDescent="0.3">
      <c r="A20" s="2" t="s">
        <v>29</v>
      </c>
      <c r="B20" s="1" t="s">
        <v>30</v>
      </c>
    </row>
    <row r="21" spans="1:2" ht="22" customHeight="1" x14ac:dyDescent="0.3">
      <c r="A21" s="2" t="s">
        <v>32</v>
      </c>
      <c r="B21" s="1" t="s">
        <v>33</v>
      </c>
    </row>
  </sheetData>
  <mergeCells count="4">
    <mergeCell ref="A1:B1"/>
    <mergeCell ref="A5:B5"/>
    <mergeCell ref="A10:B10"/>
    <mergeCell ref="A18:B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A0EC-5B89-4A85-9DF8-6E8523CD8240}">
  <dimension ref="A1:B8"/>
  <sheetViews>
    <sheetView workbookViewId="0">
      <selection activeCell="B6" sqref="B6"/>
    </sheetView>
  </sheetViews>
  <sheetFormatPr defaultColWidth="8.6640625" defaultRowHeight="22" customHeight="1" x14ac:dyDescent="0.3"/>
  <cols>
    <col min="1" max="1" width="25.58203125" style="2" customWidth="1"/>
    <col min="2" max="2" width="55.5" style="1" customWidth="1"/>
    <col min="3" max="16384" width="8.6640625" style="1"/>
  </cols>
  <sheetData>
    <row r="1" spans="1:2" ht="22" customHeight="1" x14ac:dyDescent="0.3">
      <c r="A1" s="2" t="s">
        <v>34</v>
      </c>
      <c r="B1" s="1" t="s">
        <v>64</v>
      </c>
    </row>
    <row r="2" spans="1:2" ht="22" customHeight="1" x14ac:dyDescent="0.3">
      <c r="A2" s="2" t="s">
        <v>65</v>
      </c>
      <c r="B2" s="1" t="s">
        <v>66</v>
      </c>
    </row>
    <row r="3" spans="1:2" ht="22" customHeight="1" x14ac:dyDescent="0.3">
      <c r="A3" s="2" t="s">
        <v>35</v>
      </c>
      <c r="B3" s="1">
        <v>4</v>
      </c>
    </row>
    <row r="4" spans="1:2" ht="22" customHeight="1" x14ac:dyDescent="0.3">
      <c r="A4" s="2" t="s">
        <v>36</v>
      </c>
      <c r="B4" s="1" t="s">
        <v>31</v>
      </c>
    </row>
    <row r="5" spans="1:2" ht="22" customHeight="1" x14ac:dyDescent="0.3">
      <c r="A5" s="2" t="s">
        <v>37</v>
      </c>
      <c r="B5" s="1">
        <v>18</v>
      </c>
    </row>
    <row r="6" spans="1:2" ht="22" customHeight="1" x14ac:dyDescent="0.3">
      <c r="A6" s="2" t="s">
        <v>38</v>
      </c>
      <c r="B6" s="1" t="s">
        <v>39</v>
      </c>
    </row>
    <row r="7" spans="1:2" ht="22" customHeight="1" x14ac:dyDescent="0.3">
      <c r="A7" s="2" t="s">
        <v>40</v>
      </c>
      <c r="B7" s="1" t="s">
        <v>41</v>
      </c>
    </row>
    <row r="8" spans="1:2" ht="22" customHeight="1" x14ac:dyDescent="0.3">
      <c r="A8" s="2" t="s">
        <v>42</v>
      </c>
      <c r="B8" s="1" t="s">
        <v>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1001-3B0B-4B8D-B29E-A5F7BDE91A2A}">
  <dimension ref="A1:B32"/>
  <sheetViews>
    <sheetView topLeftCell="A16" zoomScaleNormal="100" workbookViewId="0">
      <selection activeCell="D21" sqref="D21"/>
    </sheetView>
  </sheetViews>
  <sheetFormatPr defaultColWidth="8.6640625" defaultRowHeight="22" customHeight="1" x14ac:dyDescent="0.3"/>
  <cols>
    <col min="1" max="1" width="25.58203125" style="2" customWidth="1"/>
    <col min="2" max="2" width="55.5" style="1" customWidth="1"/>
    <col min="3" max="16384" width="8.6640625" style="1"/>
  </cols>
  <sheetData>
    <row r="1" spans="1:2" ht="22" customHeight="1" x14ac:dyDescent="0.3">
      <c r="A1" s="2" t="s">
        <v>43</v>
      </c>
      <c r="B1" s="1" t="s">
        <v>44</v>
      </c>
    </row>
    <row r="2" spans="1:2" ht="22" customHeight="1" x14ac:dyDescent="0.3">
      <c r="A2" s="2" t="s">
        <v>45</v>
      </c>
      <c r="B2" s="7">
        <v>3</v>
      </c>
    </row>
    <row r="3" spans="1:2" ht="22" customHeight="1" x14ac:dyDescent="0.3">
      <c r="A3" s="2" t="s">
        <v>46</v>
      </c>
      <c r="B3" s="7">
        <v>3.6</v>
      </c>
    </row>
    <row r="4" spans="1:2" ht="22" customHeight="1" x14ac:dyDescent="0.3">
      <c r="A4" s="2" t="s">
        <v>47</v>
      </c>
      <c r="B4" s="7">
        <v>0.33</v>
      </c>
    </row>
    <row r="5" spans="1:2" ht="22" customHeight="1" x14ac:dyDescent="0.3">
      <c r="A5" s="2" t="s">
        <v>51</v>
      </c>
      <c r="B5" s="7">
        <v>0.20499999999999999</v>
      </c>
    </row>
    <row r="6" spans="1:2" ht="22" customHeight="1" x14ac:dyDescent="0.3">
      <c r="A6" s="2" t="s">
        <v>48</v>
      </c>
      <c r="B6" s="7">
        <v>0.8</v>
      </c>
    </row>
    <row r="7" spans="1:2" ht="22" customHeight="1" x14ac:dyDescent="0.3">
      <c r="A7" s="2" t="s">
        <v>49</v>
      </c>
      <c r="B7" s="1" t="s">
        <v>50</v>
      </c>
    </row>
    <row r="8" spans="1:2" ht="22" customHeight="1" x14ac:dyDescent="0.3">
      <c r="A8" s="2" t="s">
        <v>42</v>
      </c>
      <c r="B8" s="1" t="s">
        <v>57</v>
      </c>
    </row>
    <row r="9" spans="1:2" ht="22" customHeight="1" x14ac:dyDescent="0.3">
      <c r="A9" s="2" t="s">
        <v>43</v>
      </c>
      <c r="B9" s="1" t="s">
        <v>58</v>
      </c>
    </row>
    <row r="10" spans="1:2" ht="22" customHeight="1" x14ac:dyDescent="0.3">
      <c r="A10" s="2" t="s">
        <v>45</v>
      </c>
      <c r="B10" s="7">
        <v>5.4</v>
      </c>
    </row>
    <row r="11" spans="1:2" ht="22" customHeight="1" x14ac:dyDescent="0.3">
      <c r="A11" s="2" t="s">
        <v>46</v>
      </c>
      <c r="B11" s="7">
        <v>3.6</v>
      </c>
    </row>
    <row r="12" spans="1:2" ht="22" customHeight="1" x14ac:dyDescent="0.3">
      <c r="A12" s="2" t="s">
        <v>47</v>
      </c>
      <c r="B12" s="7">
        <v>0.33</v>
      </c>
    </row>
    <row r="13" spans="1:2" ht="22" customHeight="1" x14ac:dyDescent="0.3">
      <c r="A13" s="2" t="s">
        <v>51</v>
      </c>
      <c r="B13" s="7">
        <v>0.20499999999999999</v>
      </c>
    </row>
    <row r="14" spans="1:2" ht="22" customHeight="1" x14ac:dyDescent="0.3">
      <c r="A14" s="2" t="s">
        <v>48</v>
      </c>
      <c r="B14" s="7">
        <v>0.8</v>
      </c>
    </row>
    <row r="15" spans="1:2" ht="22" customHeight="1" x14ac:dyDescent="0.3">
      <c r="A15" s="2" t="s">
        <v>49</v>
      </c>
      <c r="B15" s="1" t="s">
        <v>50</v>
      </c>
    </row>
    <row r="16" spans="1:2" ht="22" customHeight="1" x14ac:dyDescent="0.3">
      <c r="A16" s="2" t="s">
        <v>42</v>
      </c>
      <c r="B16" s="1" t="s">
        <v>59</v>
      </c>
    </row>
    <row r="17" spans="1:2" ht="22" customHeight="1" x14ac:dyDescent="0.3">
      <c r="A17" s="2" t="s">
        <v>43</v>
      </c>
      <c r="B17" s="1" t="s">
        <v>60</v>
      </c>
    </row>
    <row r="18" spans="1:2" ht="22" customHeight="1" x14ac:dyDescent="0.3">
      <c r="A18" s="2" t="s">
        <v>45</v>
      </c>
      <c r="B18" s="7">
        <v>3</v>
      </c>
    </row>
    <row r="19" spans="1:2" ht="22" customHeight="1" x14ac:dyDescent="0.3">
      <c r="A19" s="2" t="s">
        <v>46</v>
      </c>
      <c r="B19" s="7">
        <v>1.2</v>
      </c>
    </row>
    <row r="20" spans="1:2" ht="22" customHeight="1" x14ac:dyDescent="0.3">
      <c r="A20" s="2" t="s">
        <v>47</v>
      </c>
      <c r="B20" s="7">
        <v>0.33</v>
      </c>
    </row>
    <row r="21" spans="1:2" ht="22" customHeight="1" x14ac:dyDescent="0.3">
      <c r="A21" s="2" t="s">
        <v>51</v>
      </c>
      <c r="B21" s="7">
        <v>0.20499999999999999</v>
      </c>
    </row>
    <row r="22" spans="1:2" ht="22" customHeight="1" x14ac:dyDescent="0.3">
      <c r="A22" s="2" t="s">
        <v>48</v>
      </c>
      <c r="B22" s="7">
        <v>0.8</v>
      </c>
    </row>
    <row r="23" spans="1:2" ht="22" customHeight="1" x14ac:dyDescent="0.3">
      <c r="A23" s="2" t="s">
        <v>49</v>
      </c>
      <c r="B23" s="1" t="s">
        <v>50</v>
      </c>
    </row>
    <row r="24" spans="1:2" ht="22" customHeight="1" x14ac:dyDescent="0.3">
      <c r="A24" s="2" t="s">
        <v>42</v>
      </c>
      <c r="B24" s="1" t="s">
        <v>61</v>
      </c>
    </row>
    <row r="25" spans="1:2" ht="22" customHeight="1" x14ac:dyDescent="0.3">
      <c r="A25" s="2" t="s">
        <v>43</v>
      </c>
      <c r="B25" s="1" t="s">
        <v>62</v>
      </c>
    </row>
    <row r="26" spans="1:2" ht="22" customHeight="1" x14ac:dyDescent="0.3">
      <c r="A26" s="2" t="s">
        <v>45</v>
      </c>
      <c r="B26" s="7">
        <v>5.4</v>
      </c>
    </row>
    <row r="27" spans="1:2" ht="22" customHeight="1" x14ac:dyDescent="0.3">
      <c r="A27" s="2" t="s">
        <v>46</v>
      </c>
      <c r="B27" s="7">
        <v>1.2</v>
      </c>
    </row>
    <row r="28" spans="1:2" ht="22" customHeight="1" x14ac:dyDescent="0.3">
      <c r="A28" s="2" t="s">
        <v>47</v>
      </c>
      <c r="B28" s="7">
        <v>0.33</v>
      </c>
    </row>
    <row r="29" spans="1:2" ht="22" customHeight="1" x14ac:dyDescent="0.3">
      <c r="A29" s="2" t="s">
        <v>51</v>
      </c>
      <c r="B29" s="7">
        <v>0.20499999999999999</v>
      </c>
    </row>
    <row r="30" spans="1:2" ht="22" customHeight="1" x14ac:dyDescent="0.3">
      <c r="A30" s="2" t="s">
        <v>48</v>
      </c>
      <c r="B30" s="7">
        <v>0.8</v>
      </c>
    </row>
    <row r="31" spans="1:2" ht="22" customHeight="1" x14ac:dyDescent="0.3">
      <c r="A31" s="2" t="s">
        <v>49</v>
      </c>
      <c r="B31" s="1" t="s">
        <v>50</v>
      </c>
    </row>
    <row r="32" spans="1:2" ht="22" customHeight="1" x14ac:dyDescent="0.3">
      <c r="A32" s="2" t="s">
        <v>42</v>
      </c>
      <c r="B32" s="1" t="s">
        <v>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E775-4B21-4D74-AAF2-49AD4F93CCB2}">
  <dimension ref="A1:P14"/>
  <sheetViews>
    <sheetView zoomScale="85" zoomScaleNormal="85" workbookViewId="0">
      <selection activeCell="R1" sqref="R1:R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</v>
      </c>
      <c r="C2" s="13">
        <v>0</v>
      </c>
      <c r="D2" s="13">
        <v>0.38</v>
      </c>
      <c r="E2" s="13">
        <v>0.37</v>
      </c>
      <c r="F2" s="14">
        <v>0.12</v>
      </c>
      <c r="G2" s="13">
        <v>0.23</v>
      </c>
      <c r="H2" s="13">
        <v>0.39</v>
      </c>
      <c r="I2" s="15">
        <v>0.17</v>
      </c>
      <c r="J2" s="13">
        <v>0.19</v>
      </c>
      <c r="K2" s="13">
        <v>0.3</v>
      </c>
      <c r="L2" s="14">
        <v>0.36</v>
      </c>
      <c r="M2" s="13">
        <v>0.21199999999999999</v>
      </c>
      <c r="N2" s="13">
        <v>0.54500000000000004</v>
      </c>
      <c r="O2" s="13">
        <v>6.7000000000000004E-2</v>
      </c>
      <c r="P2" s="13">
        <v>3.4000000000000002E-2</v>
      </c>
    </row>
    <row r="3" spans="1:16" ht="20.149999999999999" customHeight="1" x14ac:dyDescent="0.3">
      <c r="A3" s="5">
        <f>A2-0.4</f>
        <v>4.3999999999999995</v>
      </c>
      <c r="B3" s="13">
        <v>0</v>
      </c>
      <c r="C3" s="13">
        <v>0</v>
      </c>
      <c r="D3" s="13">
        <v>0.37</v>
      </c>
      <c r="E3" s="13">
        <v>0.17</v>
      </c>
      <c r="F3" s="14">
        <v>0.27</v>
      </c>
      <c r="G3" s="13">
        <v>0.08</v>
      </c>
      <c r="H3" s="13">
        <v>0.09</v>
      </c>
      <c r="I3" s="15">
        <v>0</v>
      </c>
      <c r="J3" s="13">
        <v>0.34</v>
      </c>
      <c r="K3" s="13">
        <v>0.28000000000000003</v>
      </c>
      <c r="L3" s="14">
        <v>0.25</v>
      </c>
      <c r="M3" s="13">
        <v>0.11700000000000001</v>
      </c>
      <c r="N3" s="13">
        <v>0.223</v>
      </c>
      <c r="O3" s="13">
        <v>9.6000000000000002E-2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0.11700000000000001</v>
      </c>
      <c r="C4" s="13">
        <v>0.20699999999999999</v>
      </c>
      <c r="D4" s="13">
        <v>0.64</v>
      </c>
      <c r="E4" s="13">
        <v>1.05</v>
      </c>
      <c r="F4" s="14">
        <v>7.31</v>
      </c>
      <c r="G4" s="13">
        <v>0.6</v>
      </c>
      <c r="H4" s="13">
        <v>0.32</v>
      </c>
      <c r="I4" s="15">
        <v>0.28000000000000003</v>
      </c>
      <c r="J4" s="13">
        <v>0.57999999999999996</v>
      </c>
      <c r="K4" s="13">
        <v>0.47</v>
      </c>
      <c r="L4" s="14">
        <v>6.66</v>
      </c>
      <c r="M4" s="13">
        <v>0.75</v>
      </c>
      <c r="N4" s="13">
        <v>0.42799999999999999</v>
      </c>
      <c r="O4" s="13">
        <v>0</v>
      </c>
      <c r="P4" s="13">
        <v>3.7999999999999999E-2</v>
      </c>
    </row>
    <row r="5" spans="1:16" ht="20.149999999999999" customHeight="1" x14ac:dyDescent="0.3">
      <c r="A5" s="5">
        <f t="shared" si="1"/>
        <v>3.5999999999999996</v>
      </c>
      <c r="B5" s="14">
        <v>0.192</v>
      </c>
      <c r="C5" s="14">
        <v>0.22500000000000001</v>
      </c>
      <c r="D5" s="14">
        <v>0.83</v>
      </c>
      <c r="E5" s="14">
        <v>4.22</v>
      </c>
      <c r="F5" s="14">
        <v>0.69</v>
      </c>
      <c r="G5" s="14">
        <v>6.09</v>
      </c>
      <c r="H5" s="14">
        <v>0.21</v>
      </c>
      <c r="I5" s="14">
        <v>0.81</v>
      </c>
      <c r="J5" s="14">
        <v>0.55000000000000004</v>
      </c>
      <c r="K5" s="14">
        <v>5.64</v>
      </c>
      <c r="L5" s="14">
        <v>0.73</v>
      </c>
      <c r="M5" s="14">
        <v>5.1550000000000002</v>
      </c>
      <c r="N5" s="14">
        <v>0.58299999999999996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</v>
      </c>
      <c r="C6" s="13">
        <v>0.29299999999999998</v>
      </c>
      <c r="D6" s="13">
        <v>0.92</v>
      </c>
      <c r="E6" s="13">
        <v>1.51</v>
      </c>
      <c r="F6" s="14">
        <v>5.42</v>
      </c>
      <c r="G6" s="13">
        <v>0.99</v>
      </c>
      <c r="H6" s="13">
        <v>0.18</v>
      </c>
      <c r="I6" s="15">
        <v>0.93</v>
      </c>
      <c r="J6" s="13">
        <v>0.26300000000000001</v>
      </c>
      <c r="K6" s="13">
        <v>0.2</v>
      </c>
      <c r="L6" s="14">
        <v>4.2699999999999996</v>
      </c>
      <c r="M6" s="13">
        <v>1.002</v>
      </c>
      <c r="N6" s="13">
        <v>0.79500000000000004</v>
      </c>
      <c r="O6" s="13">
        <v>0.23200000000000001</v>
      </c>
      <c r="P6" s="13">
        <v>0</v>
      </c>
    </row>
    <row r="7" spans="1:16" ht="20.149999999999999" customHeight="1" x14ac:dyDescent="0.3">
      <c r="A7" s="5">
        <f t="shared" si="1"/>
        <v>2.8</v>
      </c>
      <c r="B7" s="13">
        <v>3.3000000000000002E-2</v>
      </c>
      <c r="C7" s="13">
        <v>3.3000000000000002E-2</v>
      </c>
      <c r="D7" s="13">
        <v>0.9</v>
      </c>
      <c r="E7" s="13">
        <v>1.18</v>
      </c>
      <c r="F7" s="14">
        <v>0.92</v>
      </c>
      <c r="G7" s="13">
        <v>0.31</v>
      </c>
      <c r="H7" s="13">
        <v>0.05</v>
      </c>
      <c r="I7" s="15">
        <v>0.93</v>
      </c>
      <c r="J7" s="13">
        <v>0.13</v>
      </c>
      <c r="K7" s="13">
        <v>0</v>
      </c>
      <c r="L7" s="14">
        <v>0.64</v>
      </c>
      <c r="M7" s="13">
        <v>0.72199999999999998</v>
      </c>
      <c r="N7" s="13">
        <v>0.36899999999999999</v>
      </c>
      <c r="O7" s="13">
        <v>0.129</v>
      </c>
      <c r="P7" s="13">
        <v>0.246</v>
      </c>
    </row>
    <row r="8" spans="1:16" ht="20.149999999999999" customHeight="1" x14ac:dyDescent="0.3">
      <c r="A8" s="5">
        <f t="shared" si="1"/>
        <v>2.4</v>
      </c>
      <c r="B8" s="15">
        <v>0</v>
      </c>
      <c r="C8" s="15">
        <v>0.33700000000000002</v>
      </c>
      <c r="D8" s="15">
        <v>0.92</v>
      </c>
      <c r="E8" s="15">
        <v>1.27</v>
      </c>
      <c r="F8" s="14">
        <v>0.9</v>
      </c>
      <c r="G8" s="15">
        <v>0.1</v>
      </c>
      <c r="H8" s="15">
        <v>0</v>
      </c>
      <c r="I8" s="15">
        <v>0.82599999999999996</v>
      </c>
      <c r="J8" s="15">
        <v>0.15</v>
      </c>
      <c r="K8" s="15">
        <v>0</v>
      </c>
      <c r="L8" s="14">
        <v>0.85</v>
      </c>
      <c r="M8" s="15">
        <v>0.70099999999999996</v>
      </c>
      <c r="N8" s="15">
        <v>0.35099999999999998</v>
      </c>
      <c r="O8" s="15">
        <v>0.53200000000000003</v>
      </c>
      <c r="P8" s="15">
        <v>0.155</v>
      </c>
    </row>
    <row r="9" spans="1:16" ht="20.149999999999999" customHeight="1" x14ac:dyDescent="0.3">
      <c r="A9" s="5">
        <f t="shared" si="1"/>
        <v>2</v>
      </c>
      <c r="B9" s="13">
        <v>0.45700000000000002</v>
      </c>
      <c r="C9" s="13">
        <v>0.35099999999999998</v>
      </c>
      <c r="D9" s="13">
        <v>0.95</v>
      </c>
      <c r="E9" s="13">
        <v>1.22</v>
      </c>
      <c r="F9" s="14">
        <v>0.54</v>
      </c>
      <c r="G9" s="13">
        <v>0.08</v>
      </c>
      <c r="H9" s="13">
        <v>0.06</v>
      </c>
      <c r="I9" s="15">
        <v>0.22</v>
      </c>
      <c r="J9" s="13">
        <v>0.24</v>
      </c>
      <c r="K9" s="13">
        <v>0</v>
      </c>
      <c r="L9" s="14">
        <v>0.26</v>
      </c>
      <c r="M9" s="13">
        <v>0.80800000000000005</v>
      </c>
      <c r="N9" s="13">
        <v>0.23799999999999999</v>
      </c>
      <c r="O9" s="13">
        <v>0.52100000000000002</v>
      </c>
      <c r="P9" s="13">
        <v>0.61699999999999999</v>
      </c>
    </row>
    <row r="10" spans="1:16" ht="20.149999999999999" customHeight="1" x14ac:dyDescent="0.3">
      <c r="A10" s="5">
        <f t="shared" si="1"/>
        <v>1.6</v>
      </c>
      <c r="B10" s="13">
        <v>0.371</v>
      </c>
      <c r="C10" s="13">
        <v>0.154</v>
      </c>
      <c r="D10" s="13">
        <v>1.23</v>
      </c>
      <c r="E10" s="13">
        <v>1.18</v>
      </c>
      <c r="F10" s="14">
        <v>7.52</v>
      </c>
      <c r="G10" s="13">
        <v>0.26</v>
      </c>
      <c r="H10" s="13">
        <v>0.28000000000000003</v>
      </c>
      <c r="I10" s="15">
        <v>0.41</v>
      </c>
      <c r="J10" s="13">
        <v>0.28000000000000003</v>
      </c>
      <c r="K10" s="13">
        <v>0.46</v>
      </c>
      <c r="L10" s="14">
        <v>6.8</v>
      </c>
      <c r="M10" s="13">
        <v>1.0720000000000001</v>
      </c>
      <c r="N10" s="13">
        <v>0.80100000000000005</v>
      </c>
      <c r="O10" s="13">
        <v>0.27800000000000002</v>
      </c>
      <c r="P10" s="13">
        <v>0.38300000000000001</v>
      </c>
    </row>
    <row r="11" spans="1:16" ht="20.149999999999999" customHeight="1" x14ac:dyDescent="0.3">
      <c r="A11" s="5">
        <f t="shared" si="1"/>
        <v>1.2000000000000002</v>
      </c>
      <c r="B11" s="14">
        <v>0.39800000000000002</v>
      </c>
      <c r="C11" s="14">
        <v>0.186</v>
      </c>
      <c r="D11" s="14">
        <v>1.1399999999999999</v>
      </c>
      <c r="E11" s="14">
        <v>4.6900000000000004</v>
      </c>
      <c r="F11" s="14">
        <v>0.79</v>
      </c>
      <c r="G11" s="14">
        <v>6.83</v>
      </c>
      <c r="H11" s="14">
        <v>0.61</v>
      </c>
      <c r="I11" s="14">
        <v>0.71</v>
      </c>
      <c r="J11" s="14">
        <v>0.39</v>
      </c>
      <c r="K11" s="14">
        <v>6.2830000000000004</v>
      </c>
      <c r="L11" s="14">
        <v>0.66</v>
      </c>
      <c r="M11" s="14">
        <v>3.8359999999999999</v>
      </c>
      <c r="N11" s="14">
        <v>1.0660000000000001</v>
      </c>
      <c r="O11" s="14">
        <v>0.221</v>
      </c>
      <c r="P11" s="14">
        <v>0.27100000000000002</v>
      </c>
    </row>
    <row r="12" spans="1:16" ht="20.149999999999999" customHeight="1" x14ac:dyDescent="0.3">
      <c r="A12" s="5">
        <f t="shared" si="1"/>
        <v>0.80000000000000016</v>
      </c>
      <c r="B12" s="13">
        <v>0.2</v>
      </c>
      <c r="C12" s="13">
        <v>6.2E-2</v>
      </c>
      <c r="D12" s="13">
        <v>0.85</v>
      </c>
      <c r="E12" s="13">
        <v>1.17</v>
      </c>
      <c r="F12" s="14">
        <v>6.01</v>
      </c>
      <c r="G12" s="13">
        <v>0.68</v>
      </c>
      <c r="H12" s="13">
        <v>0.32</v>
      </c>
      <c r="I12" s="15">
        <v>0.57999999999999996</v>
      </c>
      <c r="J12" s="13">
        <v>0.13</v>
      </c>
      <c r="K12" s="13">
        <v>0.52800000000000002</v>
      </c>
      <c r="L12" s="14">
        <v>6.12</v>
      </c>
      <c r="M12" s="13">
        <v>0.88500000000000001</v>
      </c>
      <c r="N12" s="13">
        <v>0.51300000000000001</v>
      </c>
      <c r="O12" s="13">
        <v>0.17599999999999999</v>
      </c>
      <c r="P12" s="13">
        <v>9.2999999999999999E-2</v>
      </c>
    </row>
    <row r="13" spans="1:16" ht="20.149999999999999" customHeight="1" x14ac:dyDescent="0.3">
      <c r="A13" s="5">
        <f t="shared" si="1"/>
        <v>0.40000000000000013</v>
      </c>
      <c r="B13" s="13">
        <v>0.20699999999999999</v>
      </c>
      <c r="C13" s="13">
        <v>0.08</v>
      </c>
      <c r="D13" s="13">
        <v>0.43</v>
      </c>
      <c r="E13" s="13">
        <v>0.83</v>
      </c>
      <c r="F13" s="14">
        <v>0.75</v>
      </c>
      <c r="G13" s="13">
        <v>0.12</v>
      </c>
      <c r="H13" s="13">
        <v>0.26</v>
      </c>
      <c r="I13" s="15">
        <v>0.36</v>
      </c>
      <c r="J13" s="13">
        <v>0</v>
      </c>
      <c r="K13" s="13">
        <v>0</v>
      </c>
      <c r="L13" s="14">
        <v>0.56000000000000005</v>
      </c>
      <c r="M13" s="13">
        <v>0.63400000000000001</v>
      </c>
      <c r="N13" s="13">
        <v>0.42</v>
      </c>
      <c r="O13" s="13">
        <v>5.2999999999999999E-2</v>
      </c>
      <c r="P13" s="13">
        <v>0</v>
      </c>
    </row>
    <row r="14" spans="1:16" ht="20.149999999999999" customHeight="1" x14ac:dyDescent="0.3">
      <c r="A14" s="5">
        <f t="shared" si="1"/>
        <v>0</v>
      </c>
      <c r="B14" s="13">
        <v>0.22900000000000001</v>
      </c>
      <c r="C14" s="13">
        <v>0.107</v>
      </c>
      <c r="D14" s="13">
        <v>0.41</v>
      </c>
      <c r="E14" s="13">
        <v>0.54</v>
      </c>
      <c r="F14" s="14">
        <v>0.49</v>
      </c>
      <c r="G14" s="13">
        <v>0</v>
      </c>
      <c r="H14" s="13">
        <v>0</v>
      </c>
      <c r="I14" s="15">
        <v>0</v>
      </c>
      <c r="J14" s="13">
        <v>0.06</v>
      </c>
      <c r="K14" s="13">
        <v>0</v>
      </c>
      <c r="L14" s="14">
        <v>0.33900000000000002</v>
      </c>
      <c r="M14" s="13">
        <v>0.38600000000000001</v>
      </c>
      <c r="N14" s="13">
        <v>0.36399999999999999</v>
      </c>
      <c r="O14" s="13">
        <v>9.9000000000000005E-2</v>
      </c>
      <c r="P14" s="13">
        <v>0</v>
      </c>
    </row>
  </sheetData>
  <phoneticPr fontId="1" type="noConversion"/>
  <conditionalFormatting sqref="B2:L11 B12:K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:M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P11 N12:P1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P11 N12:P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:P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9177-D6B7-46A7-93C7-F69260BE1DAB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8">
        <v>3.4</v>
      </c>
      <c r="B2" s="18">
        <v>3.6</v>
      </c>
      <c r="C2" s="11">
        <v>1</v>
      </c>
      <c r="D2" s="12">
        <v>5.8609999999999998</v>
      </c>
      <c r="E2" s="17">
        <f>AVERAGE(D2:D16)</f>
        <v>6.0898666666666665</v>
      </c>
      <c r="F2" s="17">
        <f>_xlfn.VAR.S(D2:D16)</f>
        <v>0.62092098095239734</v>
      </c>
      <c r="H2" s="18">
        <v>5</v>
      </c>
      <c r="I2" s="18">
        <v>1.2</v>
      </c>
      <c r="J2" s="11">
        <v>1</v>
      </c>
      <c r="K2" s="12">
        <v>6.3769999999999998</v>
      </c>
      <c r="L2" s="17">
        <f>AVERAGE(K2:K16)</f>
        <v>6.2825999999999995</v>
      </c>
      <c r="M2" s="17">
        <f>_xlfn.VAR.S(K2:K16)</f>
        <v>0.18550711428571437</v>
      </c>
      <c r="O2" s="18">
        <v>4.5999999999999996</v>
      </c>
      <c r="P2" s="18">
        <v>3.2</v>
      </c>
      <c r="Q2" s="11">
        <v>1</v>
      </c>
      <c r="R2" s="12">
        <v>0.308</v>
      </c>
      <c r="S2" s="17">
        <f>AVERAGE(R2:R16)</f>
        <v>0.26313333333333327</v>
      </c>
      <c r="T2" s="17">
        <f>_xlfn.VAR.S(R2:R16)</f>
        <v>1.6478266666666692E-2</v>
      </c>
    </row>
    <row r="3" spans="1:20" ht="15" customHeight="1" x14ac:dyDescent="0.3">
      <c r="A3" s="18"/>
      <c r="B3" s="18"/>
      <c r="C3" s="11">
        <v>2</v>
      </c>
      <c r="D3" s="12">
        <v>6.8630000000000004</v>
      </c>
      <c r="E3" s="17"/>
      <c r="F3" s="17"/>
      <c r="H3" s="18"/>
      <c r="I3" s="18"/>
      <c r="J3" s="11">
        <v>2</v>
      </c>
      <c r="K3" s="12">
        <v>6.234</v>
      </c>
      <c r="L3" s="17"/>
      <c r="M3" s="17"/>
      <c r="O3" s="18"/>
      <c r="P3" s="18"/>
      <c r="Q3" s="11">
        <v>2</v>
      </c>
      <c r="R3" s="12">
        <v>0.20899999999999999</v>
      </c>
      <c r="S3" s="17"/>
      <c r="T3" s="17"/>
    </row>
    <row r="4" spans="1:20" ht="15" customHeight="1" x14ac:dyDescent="0.3">
      <c r="A4" s="18"/>
      <c r="B4" s="18"/>
      <c r="C4" s="11">
        <v>3</v>
      </c>
      <c r="D4" s="12">
        <v>6.0590000000000002</v>
      </c>
      <c r="E4" s="17"/>
      <c r="F4" s="17"/>
      <c r="H4" s="18"/>
      <c r="I4" s="18"/>
      <c r="J4" s="11">
        <v>3</v>
      </c>
      <c r="K4" s="12">
        <v>6.2869999999999999</v>
      </c>
      <c r="L4" s="17"/>
      <c r="M4" s="17"/>
      <c r="O4" s="18"/>
      <c r="P4" s="18"/>
      <c r="Q4" s="11">
        <v>3</v>
      </c>
      <c r="R4" s="12">
        <v>0.41099999999999998</v>
      </c>
      <c r="S4" s="17"/>
      <c r="T4" s="17"/>
    </row>
    <row r="5" spans="1:20" ht="15" customHeight="1" x14ac:dyDescent="0.3">
      <c r="A5" s="18"/>
      <c r="B5" s="18"/>
      <c r="C5" s="11">
        <v>4</v>
      </c>
      <c r="D5" s="12">
        <v>6.32</v>
      </c>
      <c r="E5" s="17"/>
      <c r="F5" s="17"/>
      <c r="H5" s="18"/>
      <c r="I5" s="18"/>
      <c r="J5" s="11">
        <v>4</v>
      </c>
      <c r="K5" s="12">
        <v>6.6619999999999999</v>
      </c>
      <c r="L5" s="17"/>
      <c r="M5" s="17"/>
      <c r="O5" s="18"/>
      <c r="P5" s="18"/>
      <c r="Q5" s="11">
        <v>4</v>
      </c>
      <c r="R5" s="12">
        <v>0.40100000000000002</v>
      </c>
      <c r="S5" s="17"/>
      <c r="T5" s="17"/>
    </row>
    <row r="6" spans="1:20" ht="15" customHeight="1" x14ac:dyDescent="0.3">
      <c r="A6" s="18"/>
      <c r="B6" s="18"/>
      <c r="C6" s="11">
        <v>5</v>
      </c>
      <c r="D6" s="12">
        <v>6.38</v>
      </c>
      <c r="E6" s="17"/>
      <c r="F6" s="17"/>
      <c r="H6" s="18"/>
      <c r="I6" s="18"/>
      <c r="J6" s="11">
        <v>5</v>
      </c>
      <c r="K6" s="12">
        <v>6.7770000000000001</v>
      </c>
      <c r="L6" s="17"/>
      <c r="M6" s="17"/>
      <c r="O6" s="18"/>
      <c r="P6" s="18"/>
      <c r="Q6" s="11">
        <v>5</v>
      </c>
      <c r="R6" s="12">
        <v>0.35399999999999998</v>
      </c>
      <c r="S6" s="17"/>
      <c r="T6" s="17"/>
    </row>
    <row r="7" spans="1:20" ht="15" customHeight="1" x14ac:dyDescent="0.3">
      <c r="A7" s="18"/>
      <c r="B7" s="18"/>
      <c r="C7" s="11">
        <v>6</v>
      </c>
      <c r="D7" s="12">
        <v>6.327</v>
      </c>
      <c r="E7" s="17"/>
      <c r="F7" s="17"/>
      <c r="H7" s="18"/>
      <c r="I7" s="18"/>
      <c r="J7" s="11">
        <v>6</v>
      </c>
      <c r="K7" s="12">
        <v>6.2169999999999996</v>
      </c>
      <c r="L7" s="17"/>
      <c r="M7" s="17"/>
      <c r="O7" s="18"/>
      <c r="P7" s="18"/>
      <c r="Q7" s="11">
        <v>6</v>
      </c>
      <c r="R7" s="12">
        <v>0.184</v>
      </c>
      <c r="S7" s="17"/>
      <c r="T7" s="17"/>
    </row>
    <row r="8" spans="1:20" ht="15" customHeight="1" x14ac:dyDescent="0.3">
      <c r="A8" s="18"/>
      <c r="B8" s="18"/>
      <c r="C8" s="11">
        <v>7</v>
      </c>
      <c r="D8" s="12">
        <v>6.4109999999999996</v>
      </c>
      <c r="E8" s="17"/>
      <c r="F8" s="17"/>
      <c r="H8" s="18"/>
      <c r="I8" s="18"/>
      <c r="J8" s="11">
        <v>7</v>
      </c>
      <c r="K8" s="12">
        <v>6.6040000000000001</v>
      </c>
      <c r="L8" s="17"/>
      <c r="M8" s="17"/>
      <c r="O8" s="18"/>
      <c r="P8" s="18"/>
      <c r="Q8" s="11">
        <v>7</v>
      </c>
      <c r="R8" s="12">
        <v>0.28100000000000003</v>
      </c>
      <c r="S8" s="17"/>
      <c r="T8" s="17"/>
    </row>
    <row r="9" spans="1:20" ht="15" customHeight="1" x14ac:dyDescent="0.3">
      <c r="A9" s="18"/>
      <c r="B9" s="18"/>
      <c r="C9" s="11">
        <v>8</v>
      </c>
      <c r="D9" s="12">
        <v>6.5949999999999998</v>
      </c>
      <c r="E9" s="17"/>
      <c r="F9" s="17"/>
      <c r="H9" s="18"/>
      <c r="I9" s="18"/>
      <c r="J9" s="11">
        <v>8</v>
      </c>
      <c r="K9" s="12">
        <v>6.5860000000000003</v>
      </c>
      <c r="L9" s="17"/>
      <c r="M9" s="17"/>
      <c r="O9" s="18"/>
      <c r="P9" s="18"/>
      <c r="Q9" s="11">
        <v>8</v>
      </c>
      <c r="R9" s="12">
        <v>0.47799999999999998</v>
      </c>
      <c r="S9" s="17"/>
      <c r="T9" s="17"/>
    </row>
    <row r="10" spans="1:20" ht="15" customHeight="1" x14ac:dyDescent="0.3">
      <c r="A10" s="18"/>
      <c r="B10" s="18"/>
      <c r="C10" s="11">
        <v>9</v>
      </c>
      <c r="D10" s="12">
        <v>6.5709999999999997</v>
      </c>
      <c r="E10" s="17"/>
      <c r="F10" s="17"/>
      <c r="H10" s="18"/>
      <c r="I10" s="18"/>
      <c r="J10" s="11">
        <v>9</v>
      </c>
      <c r="K10" s="12">
        <v>7.0190000000000001</v>
      </c>
      <c r="L10" s="17"/>
      <c r="M10" s="17"/>
      <c r="O10" s="18"/>
      <c r="P10" s="18"/>
      <c r="Q10" s="11">
        <v>9</v>
      </c>
      <c r="R10" s="12">
        <v>0.151</v>
      </c>
      <c r="S10" s="17"/>
      <c r="T10" s="17"/>
    </row>
    <row r="11" spans="1:20" ht="15" customHeight="1" x14ac:dyDescent="0.3">
      <c r="A11" s="18"/>
      <c r="B11" s="18"/>
      <c r="C11" s="11">
        <v>10</v>
      </c>
      <c r="D11" s="12">
        <v>7.4740000000000002</v>
      </c>
      <c r="E11" s="17"/>
      <c r="F11" s="17"/>
      <c r="H11" s="18"/>
      <c r="I11" s="18"/>
      <c r="J11" s="11">
        <v>10</v>
      </c>
      <c r="K11" s="12">
        <v>6.1189999999999998</v>
      </c>
      <c r="L11" s="17"/>
      <c r="M11" s="17"/>
      <c r="O11" s="18"/>
      <c r="P11" s="18"/>
      <c r="Q11" s="11">
        <v>10</v>
      </c>
      <c r="R11" s="12">
        <v>9.4E-2</v>
      </c>
      <c r="S11" s="17"/>
      <c r="T11" s="17"/>
    </row>
    <row r="12" spans="1:20" ht="15" customHeight="1" x14ac:dyDescent="0.3">
      <c r="A12" s="18"/>
      <c r="B12" s="18"/>
      <c r="C12" s="11">
        <v>11</v>
      </c>
      <c r="D12" s="12">
        <v>5.4329999999999998</v>
      </c>
      <c r="E12" s="17"/>
      <c r="F12" s="17"/>
      <c r="H12" s="18"/>
      <c r="I12" s="18"/>
      <c r="J12" s="11">
        <v>11</v>
      </c>
      <c r="K12" s="12">
        <v>5.9880000000000004</v>
      </c>
      <c r="L12" s="17"/>
      <c r="M12" s="17"/>
      <c r="O12" s="18"/>
      <c r="P12" s="18"/>
      <c r="Q12" s="11">
        <v>11</v>
      </c>
      <c r="R12" s="12">
        <v>1.7999999999999999E-2</v>
      </c>
      <c r="S12" s="17"/>
      <c r="T12" s="17"/>
    </row>
    <row r="13" spans="1:20" ht="15" customHeight="1" x14ac:dyDescent="0.3">
      <c r="A13" s="18"/>
      <c r="B13" s="18"/>
      <c r="C13" s="11">
        <v>12</v>
      </c>
      <c r="D13" s="12">
        <v>4.8810000000000002</v>
      </c>
      <c r="E13" s="17"/>
      <c r="F13" s="17"/>
      <c r="H13" s="18"/>
      <c r="I13" s="18"/>
      <c r="J13" s="11">
        <v>12</v>
      </c>
      <c r="K13" s="12">
        <v>5.9109999999999996</v>
      </c>
      <c r="L13" s="17"/>
      <c r="M13" s="17"/>
      <c r="O13" s="18"/>
      <c r="P13" s="18"/>
      <c r="Q13" s="11">
        <v>12</v>
      </c>
      <c r="R13" s="12">
        <v>0.192</v>
      </c>
      <c r="S13" s="17"/>
      <c r="T13" s="17"/>
    </row>
    <row r="14" spans="1:20" ht="15" customHeight="1" x14ac:dyDescent="0.3">
      <c r="A14" s="18"/>
      <c r="B14" s="18"/>
      <c r="C14" s="11">
        <v>13</v>
      </c>
      <c r="D14" s="12">
        <v>4.2460000000000004</v>
      </c>
      <c r="E14" s="17"/>
      <c r="F14" s="17"/>
      <c r="H14" s="18"/>
      <c r="I14" s="18"/>
      <c r="J14" s="11">
        <v>13</v>
      </c>
      <c r="K14" s="12">
        <v>5.306</v>
      </c>
      <c r="L14" s="17"/>
      <c r="M14" s="17"/>
      <c r="O14" s="18"/>
      <c r="P14" s="18"/>
      <c r="Q14" s="11">
        <v>13</v>
      </c>
      <c r="R14" s="12">
        <v>0.187</v>
      </c>
      <c r="S14" s="17"/>
      <c r="T14" s="17"/>
    </row>
    <row r="15" spans="1:20" ht="15" customHeight="1" x14ac:dyDescent="0.3">
      <c r="A15" s="18"/>
      <c r="B15" s="18"/>
      <c r="C15" s="11">
        <v>14</v>
      </c>
      <c r="D15" s="12">
        <v>5.8680000000000003</v>
      </c>
      <c r="E15" s="17"/>
      <c r="F15" s="17"/>
      <c r="H15" s="18"/>
      <c r="I15" s="18"/>
      <c r="J15" s="11">
        <v>14</v>
      </c>
      <c r="K15" s="12">
        <v>5.7889999999999997</v>
      </c>
      <c r="L15" s="17"/>
      <c r="M15" s="17"/>
      <c r="O15" s="18"/>
      <c r="P15" s="18"/>
      <c r="Q15" s="11">
        <v>14</v>
      </c>
      <c r="R15" s="12">
        <v>0.34599999999999997</v>
      </c>
      <c r="S15" s="17"/>
      <c r="T15" s="17"/>
    </row>
    <row r="16" spans="1:20" ht="15" customHeight="1" x14ac:dyDescent="0.3">
      <c r="A16" s="18"/>
      <c r="B16" s="18"/>
      <c r="C16" s="11">
        <v>15</v>
      </c>
      <c r="D16" s="12">
        <v>6.0590000000000002</v>
      </c>
      <c r="E16" s="17"/>
      <c r="F16" s="17"/>
      <c r="H16" s="18"/>
      <c r="I16" s="18"/>
      <c r="J16" s="11">
        <v>15</v>
      </c>
      <c r="K16" s="12">
        <v>6.3630000000000004</v>
      </c>
      <c r="L16" s="17"/>
      <c r="M16" s="17"/>
      <c r="O16" s="18"/>
      <c r="P16" s="18"/>
      <c r="Q16" s="11">
        <v>15</v>
      </c>
      <c r="R16" s="12">
        <v>0.33300000000000002</v>
      </c>
      <c r="S16" s="17"/>
      <c r="T16" s="17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8">
        <v>4.2</v>
      </c>
      <c r="B19" s="18">
        <v>2.4</v>
      </c>
      <c r="C19" s="11">
        <v>1</v>
      </c>
      <c r="D19" s="12">
        <v>0.78500000000000003</v>
      </c>
      <c r="E19" s="17">
        <f>AVERAGE(D19:D33)</f>
        <v>0.82586666666666675</v>
      </c>
      <c r="F19" s="17">
        <f>_xlfn.VAR.S(D19:D33)</f>
        <v>8.1200695238095102E-2</v>
      </c>
      <c r="H19" s="18">
        <v>6.2</v>
      </c>
      <c r="I19" s="18">
        <v>0</v>
      </c>
      <c r="J19" s="11">
        <v>1</v>
      </c>
      <c r="K19" s="12">
        <v>0.501</v>
      </c>
      <c r="L19" s="17">
        <f>AVERAGE(K19:K33)</f>
        <v>0.36353333333333332</v>
      </c>
      <c r="M19" s="17">
        <f>_xlfn.VAR.S(K19:K33)</f>
        <v>2.5191552380952418E-2</v>
      </c>
      <c r="O19" s="18">
        <v>0</v>
      </c>
      <c r="P19" s="18">
        <v>4.8</v>
      </c>
      <c r="Q19" s="11">
        <v>1</v>
      </c>
      <c r="R19" s="12">
        <v>0</v>
      </c>
      <c r="S19" s="17">
        <f>AVERAGE(R19:R33)</f>
        <v>0</v>
      </c>
      <c r="T19" s="17">
        <f>_xlfn.VAR.S(R19:R33)</f>
        <v>0</v>
      </c>
    </row>
    <row r="20" spans="1:20" ht="15" customHeight="1" x14ac:dyDescent="0.3">
      <c r="A20" s="18"/>
      <c r="B20" s="18"/>
      <c r="C20" s="11">
        <v>2</v>
      </c>
      <c r="D20" s="12">
        <v>0.86199999999999999</v>
      </c>
      <c r="E20" s="17"/>
      <c r="F20" s="17"/>
      <c r="H20" s="18"/>
      <c r="I20" s="18"/>
      <c r="J20" s="11">
        <v>2</v>
      </c>
      <c r="K20" s="12">
        <v>0.40600000000000003</v>
      </c>
      <c r="L20" s="17"/>
      <c r="M20" s="17"/>
      <c r="O20" s="18"/>
      <c r="P20" s="18"/>
      <c r="Q20" s="11">
        <v>2</v>
      </c>
      <c r="R20" s="12">
        <v>0</v>
      </c>
      <c r="S20" s="17"/>
      <c r="T20" s="17"/>
    </row>
    <row r="21" spans="1:20" ht="15" customHeight="1" x14ac:dyDescent="0.3">
      <c r="A21" s="18"/>
      <c r="B21" s="18"/>
      <c r="C21" s="11">
        <v>3</v>
      </c>
      <c r="D21" s="12">
        <v>0.94899999999999995</v>
      </c>
      <c r="E21" s="17"/>
      <c r="F21" s="17"/>
      <c r="H21" s="18"/>
      <c r="I21" s="18"/>
      <c r="J21" s="11">
        <v>3</v>
      </c>
      <c r="K21" s="12">
        <v>0.35099999999999998</v>
      </c>
      <c r="L21" s="17"/>
      <c r="M21" s="17"/>
      <c r="O21" s="18"/>
      <c r="P21" s="18"/>
      <c r="Q21" s="11">
        <v>3</v>
      </c>
      <c r="R21" s="12">
        <v>0</v>
      </c>
      <c r="S21" s="17"/>
      <c r="T21" s="17"/>
    </row>
    <row r="22" spans="1:20" ht="15" customHeight="1" x14ac:dyDescent="0.3">
      <c r="A22" s="18"/>
      <c r="B22" s="18"/>
      <c r="C22" s="11">
        <v>4</v>
      </c>
      <c r="D22" s="12">
        <v>0.82</v>
      </c>
      <c r="E22" s="17"/>
      <c r="F22" s="17"/>
      <c r="H22" s="18"/>
      <c r="I22" s="18"/>
      <c r="J22" s="11">
        <v>4</v>
      </c>
      <c r="K22" s="12">
        <v>0.376</v>
      </c>
      <c r="L22" s="17"/>
      <c r="M22" s="17"/>
      <c r="O22" s="18"/>
      <c r="P22" s="18"/>
      <c r="Q22" s="11">
        <v>4</v>
      </c>
      <c r="R22" s="12">
        <v>0</v>
      </c>
      <c r="S22" s="17"/>
      <c r="T22" s="17"/>
    </row>
    <row r="23" spans="1:20" ht="15" customHeight="1" x14ac:dyDescent="0.3">
      <c r="A23" s="18"/>
      <c r="B23" s="18"/>
      <c r="C23" s="11">
        <v>5</v>
      </c>
      <c r="D23" s="12">
        <v>1.1819999999999999</v>
      </c>
      <c r="E23" s="17"/>
      <c r="F23" s="17"/>
      <c r="H23" s="18"/>
      <c r="I23" s="18"/>
      <c r="J23" s="11">
        <v>5</v>
      </c>
      <c r="K23" s="12">
        <v>0.111</v>
      </c>
      <c r="L23" s="17"/>
      <c r="M23" s="17"/>
      <c r="O23" s="18"/>
      <c r="P23" s="18"/>
      <c r="Q23" s="11">
        <v>5</v>
      </c>
      <c r="R23" s="12">
        <v>0</v>
      </c>
      <c r="S23" s="17"/>
      <c r="T23" s="17"/>
    </row>
    <row r="24" spans="1:20" ht="15" customHeight="1" x14ac:dyDescent="0.3">
      <c r="A24" s="18"/>
      <c r="B24" s="18"/>
      <c r="C24" s="11">
        <v>6</v>
      </c>
      <c r="D24" s="12">
        <v>1.0489999999999999</v>
      </c>
      <c r="E24" s="17"/>
      <c r="F24" s="17"/>
      <c r="H24" s="18"/>
      <c r="I24" s="18"/>
      <c r="J24" s="11">
        <v>6</v>
      </c>
      <c r="K24" s="12">
        <v>0.26700000000000002</v>
      </c>
      <c r="L24" s="17"/>
      <c r="M24" s="17"/>
      <c r="O24" s="18"/>
      <c r="P24" s="18"/>
      <c r="Q24" s="11">
        <v>6</v>
      </c>
      <c r="R24" s="12">
        <v>0</v>
      </c>
      <c r="S24" s="17"/>
      <c r="T24" s="17"/>
    </row>
    <row r="25" spans="1:20" ht="15" customHeight="1" x14ac:dyDescent="0.3">
      <c r="A25" s="18"/>
      <c r="B25" s="18"/>
      <c r="C25" s="11">
        <v>7</v>
      </c>
      <c r="D25" s="12">
        <v>0.61899999999999999</v>
      </c>
      <c r="E25" s="17"/>
      <c r="F25" s="17"/>
      <c r="H25" s="18"/>
      <c r="I25" s="18"/>
      <c r="J25" s="11">
        <v>7</v>
      </c>
      <c r="K25" s="12">
        <v>0.33400000000000002</v>
      </c>
      <c r="L25" s="17"/>
      <c r="M25" s="17"/>
      <c r="O25" s="18"/>
      <c r="P25" s="18"/>
      <c r="Q25" s="11">
        <v>7</v>
      </c>
      <c r="R25" s="12">
        <v>0</v>
      </c>
      <c r="S25" s="17"/>
      <c r="T25" s="17"/>
    </row>
    <row r="26" spans="1:20" ht="15" customHeight="1" x14ac:dyDescent="0.3">
      <c r="A26" s="18"/>
      <c r="B26" s="18"/>
      <c r="C26" s="11">
        <v>8</v>
      </c>
      <c r="D26" s="12">
        <v>0.50800000000000001</v>
      </c>
      <c r="E26" s="17"/>
      <c r="F26" s="17"/>
      <c r="H26" s="18"/>
      <c r="I26" s="18"/>
      <c r="J26" s="11">
        <v>8</v>
      </c>
      <c r="K26" s="12">
        <v>0.437</v>
      </c>
      <c r="L26" s="17"/>
      <c r="M26" s="17"/>
      <c r="O26" s="18"/>
      <c r="P26" s="18"/>
      <c r="Q26" s="11">
        <v>8</v>
      </c>
      <c r="R26" s="12">
        <v>0</v>
      </c>
      <c r="S26" s="17"/>
      <c r="T26" s="17"/>
    </row>
    <row r="27" spans="1:20" ht="15" customHeight="1" x14ac:dyDescent="0.3">
      <c r="A27" s="18"/>
      <c r="B27" s="18"/>
      <c r="C27" s="11">
        <v>9</v>
      </c>
      <c r="D27" s="12">
        <v>0.441</v>
      </c>
      <c r="E27" s="17"/>
      <c r="F27" s="17"/>
      <c r="H27" s="18"/>
      <c r="I27" s="18"/>
      <c r="J27" s="11">
        <v>9</v>
      </c>
      <c r="K27" s="12">
        <v>0.14599999999999999</v>
      </c>
      <c r="L27" s="17"/>
      <c r="M27" s="17"/>
      <c r="O27" s="18"/>
      <c r="P27" s="18"/>
      <c r="Q27" s="11">
        <v>9</v>
      </c>
      <c r="R27" s="12">
        <v>0</v>
      </c>
      <c r="S27" s="17"/>
      <c r="T27" s="17"/>
    </row>
    <row r="28" spans="1:20" ht="15" customHeight="1" x14ac:dyDescent="0.3">
      <c r="A28" s="18"/>
      <c r="B28" s="18"/>
      <c r="C28" s="11">
        <v>10</v>
      </c>
      <c r="D28" s="12">
        <v>0.80400000000000005</v>
      </c>
      <c r="E28" s="17"/>
      <c r="F28" s="17"/>
      <c r="H28" s="18"/>
      <c r="I28" s="18"/>
      <c r="J28" s="11">
        <v>10</v>
      </c>
      <c r="K28" s="12">
        <v>0.20300000000000001</v>
      </c>
      <c r="L28" s="17"/>
      <c r="M28" s="17"/>
      <c r="O28" s="18"/>
      <c r="P28" s="18"/>
      <c r="Q28" s="11">
        <v>10</v>
      </c>
      <c r="R28" s="12">
        <v>0</v>
      </c>
      <c r="S28" s="17"/>
      <c r="T28" s="17"/>
    </row>
    <row r="29" spans="1:20" ht="15" customHeight="1" x14ac:dyDescent="0.3">
      <c r="A29" s="18"/>
      <c r="B29" s="18"/>
      <c r="C29" s="11">
        <v>11</v>
      </c>
      <c r="D29" s="12">
        <v>1.3220000000000001</v>
      </c>
      <c r="E29" s="17"/>
      <c r="F29" s="17"/>
      <c r="H29" s="18"/>
      <c r="I29" s="18"/>
      <c r="J29" s="11">
        <v>11</v>
      </c>
      <c r="K29" s="12">
        <v>0.32300000000000001</v>
      </c>
      <c r="L29" s="17"/>
      <c r="M29" s="17"/>
      <c r="O29" s="18"/>
      <c r="P29" s="18"/>
      <c r="Q29" s="11">
        <v>11</v>
      </c>
      <c r="R29" s="12">
        <v>0</v>
      </c>
      <c r="S29" s="17"/>
      <c r="T29" s="17"/>
    </row>
    <row r="30" spans="1:20" ht="15" customHeight="1" x14ac:dyDescent="0.3">
      <c r="A30" s="18"/>
      <c r="B30" s="18"/>
      <c r="C30" s="11">
        <v>12</v>
      </c>
      <c r="D30" s="12">
        <v>0.64500000000000002</v>
      </c>
      <c r="E30" s="17"/>
      <c r="F30" s="17"/>
      <c r="H30" s="18"/>
      <c r="I30" s="18"/>
      <c r="J30" s="11">
        <v>12</v>
      </c>
      <c r="K30" s="12">
        <v>0.51300000000000001</v>
      </c>
      <c r="L30" s="17"/>
      <c r="M30" s="17"/>
      <c r="O30" s="18"/>
      <c r="P30" s="18"/>
      <c r="Q30" s="11">
        <v>12</v>
      </c>
      <c r="R30" s="12">
        <v>0</v>
      </c>
      <c r="S30" s="17"/>
      <c r="T30" s="17"/>
    </row>
    <row r="31" spans="1:20" ht="15" customHeight="1" x14ac:dyDescent="0.3">
      <c r="A31" s="18"/>
      <c r="B31" s="18"/>
      <c r="C31" s="11">
        <v>13</v>
      </c>
      <c r="D31" s="12">
        <v>0.31</v>
      </c>
      <c r="E31" s="17"/>
      <c r="F31" s="17"/>
      <c r="H31" s="18"/>
      <c r="I31" s="18"/>
      <c r="J31" s="11">
        <v>13</v>
      </c>
      <c r="K31" s="12">
        <v>0.38900000000000001</v>
      </c>
      <c r="L31" s="17"/>
      <c r="M31" s="17"/>
      <c r="O31" s="18"/>
      <c r="P31" s="18"/>
      <c r="Q31" s="11">
        <v>13</v>
      </c>
      <c r="R31" s="12">
        <v>0</v>
      </c>
      <c r="S31" s="17"/>
      <c r="T31" s="17"/>
    </row>
    <row r="32" spans="1:20" ht="15" customHeight="1" x14ac:dyDescent="0.3">
      <c r="A32" s="18"/>
      <c r="B32" s="18"/>
      <c r="C32" s="11">
        <v>14</v>
      </c>
      <c r="D32" s="12">
        <v>1.1080000000000001</v>
      </c>
      <c r="E32" s="17"/>
      <c r="F32" s="17"/>
      <c r="H32" s="18"/>
      <c r="I32" s="18"/>
      <c r="J32" s="11">
        <v>14</v>
      </c>
      <c r="K32" s="12">
        <v>0.75600000000000001</v>
      </c>
      <c r="L32" s="17"/>
      <c r="M32" s="17"/>
      <c r="O32" s="18"/>
      <c r="P32" s="18"/>
      <c r="Q32" s="11">
        <v>14</v>
      </c>
      <c r="R32" s="12">
        <v>0</v>
      </c>
      <c r="S32" s="17"/>
      <c r="T32" s="17"/>
    </row>
    <row r="33" spans="1:20" ht="15" customHeight="1" x14ac:dyDescent="0.3">
      <c r="A33" s="18"/>
      <c r="B33" s="18"/>
      <c r="C33" s="11">
        <v>15</v>
      </c>
      <c r="D33" s="12">
        <v>0.98399999999999999</v>
      </c>
      <c r="E33" s="17"/>
      <c r="F33" s="17"/>
      <c r="H33" s="18"/>
      <c r="I33" s="18"/>
      <c r="J33" s="11">
        <v>15</v>
      </c>
      <c r="K33" s="12">
        <v>0.34</v>
      </c>
      <c r="L33" s="17"/>
      <c r="M33" s="17"/>
      <c r="O33" s="18"/>
      <c r="P33" s="18"/>
      <c r="Q33" s="11">
        <v>15</v>
      </c>
      <c r="R33" s="12">
        <v>0</v>
      </c>
      <c r="S33" s="17"/>
      <c r="T33" s="17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955B-B7AF-4AAA-9C72-3B287801BEF3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9.6000000000000002E-2</v>
      </c>
      <c r="C2" s="13">
        <v>0.16</v>
      </c>
      <c r="D2" s="13">
        <v>0.499</v>
      </c>
      <c r="E2" s="13">
        <v>0.32200000000000001</v>
      </c>
      <c r="F2" s="14">
        <v>0.39800000000000002</v>
      </c>
      <c r="G2" s="13">
        <v>0</v>
      </c>
      <c r="H2" s="13">
        <v>0.19800000000000001</v>
      </c>
      <c r="I2" s="15">
        <v>0.13</v>
      </c>
      <c r="J2" s="13">
        <v>0.17499999999999999</v>
      </c>
      <c r="K2" s="13">
        <v>0.32500000000000001</v>
      </c>
      <c r="L2" s="14">
        <v>0.28199999999999997</v>
      </c>
      <c r="M2" s="13">
        <v>8.2000000000000003E-2</v>
      </c>
      <c r="N2" s="13">
        <v>0.56200000000000006</v>
      </c>
      <c r="O2" s="13">
        <v>0.127</v>
      </c>
      <c r="P2" s="13">
        <v>0</v>
      </c>
    </row>
    <row r="3" spans="1:16" ht="20.149999999999999" customHeight="1" x14ac:dyDescent="0.3">
      <c r="A3" s="5">
        <f>A2-0.4</f>
        <v>4.3999999999999995</v>
      </c>
      <c r="B3" s="13">
        <v>0.27</v>
      </c>
      <c r="C3" s="13">
        <v>7.5999999999999998E-2</v>
      </c>
      <c r="D3" s="13">
        <v>0.34</v>
      </c>
      <c r="E3" s="13">
        <v>0.45200000000000001</v>
      </c>
      <c r="F3" s="14">
        <v>0.28599999999999998</v>
      </c>
      <c r="G3" s="13">
        <v>4.5999999999999999E-2</v>
      </c>
      <c r="H3" s="13">
        <v>0.113</v>
      </c>
      <c r="I3" s="15">
        <v>0.125</v>
      </c>
      <c r="J3" s="13">
        <v>0.20699999999999999</v>
      </c>
      <c r="K3" s="13">
        <v>0.28599999999999998</v>
      </c>
      <c r="L3" s="14">
        <v>0.14000000000000001</v>
      </c>
      <c r="M3" s="13">
        <v>0.20599999999999999</v>
      </c>
      <c r="N3" s="13">
        <v>0.23799999999999999</v>
      </c>
      <c r="O3" s="13">
        <v>0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4.3999999999999997E-2</v>
      </c>
      <c r="C4" s="13">
        <v>2.4E-2</v>
      </c>
      <c r="D4" s="13">
        <v>0.80100000000000005</v>
      </c>
      <c r="E4" s="13">
        <v>4.4400000000000004</v>
      </c>
      <c r="F4" s="14">
        <v>2.2530000000000001</v>
      </c>
      <c r="G4" s="13">
        <v>1.6759999999999999</v>
      </c>
      <c r="H4" s="13">
        <v>0.60499999999999998</v>
      </c>
      <c r="I4" s="15">
        <v>0.23799999999999999</v>
      </c>
      <c r="J4" s="13">
        <v>0.44900000000000001</v>
      </c>
      <c r="K4" s="13">
        <v>2.2890000000000001</v>
      </c>
      <c r="L4" s="14">
        <v>3.347</v>
      </c>
      <c r="M4" s="13">
        <v>1.196</v>
      </c>
      <c r="N4" s="13">
        <v>0.48399999999999999</v>
      </c>
      <c r="O4" s="13">
        <v>0</v>
      </c>
      <c r="P4" s="13">
        <v>7.9000000000000001E-2</v>
      </c>
    </row>
    <row r="5" spans="1:16" ht="20.149999999999999" customHeight="1" x14ac:dyDescent="0.3">
      <c r="A5" s="5">
        <f t="shared" si="1"/>
        <v>3.5999999999999996</v>
      </c>
      <c r="B5" s="14">
        <v>0.10299999999999999</v>
      </c>
      <c r="C5" s="14">
        <v>0</v>
      </c>
      <c r="D5" s="14">
        <v>0.84499999999999997</v>
      </c>
      <c r="E5" s="14">
        <v>3.6720000000000002</v>
      </c>
      <c r="F5" s="14">
        <v>0.97599999999999998</v>
      </c>
      <c r="G5" s="14">
        <v>3.4729999999999999</v>
      </c>
      <c r="H5" s="14">
        <v>0.48899999999999999</v>
      </c>
      <c r="I5" s="14">
        <v>0.625</v>
      </c>
      <c r="J5" s="14">
        <v>0.49199999999999999</v>
      </c>
      <c r="K5" s="14">
        <v>3.5979999999999999</v>
      </c>
      <c r="L5" s="14">
        <v>0.80100000000000005</v>
      </c>
      <c r="M5" s="14">
        <v>4.0170000000000003</v>
      </c>
      <c r="N5" s="14">
        <v>0.64900000000000002</v>
      </c>
      <c r="O5" s="14">
        <v>0</v>
      </c>
      <c r="P5" s="14">
        <v>0.111</v>
      </c>
    </row>
    <row r="6" spans="1:16" ht="20.149999999999999" customHeight="1" x14ac:dyDescent="0.3">
      <c r="A6" s="5">
        <f t="shared" si="1"/>
        <v>3.1999999999999997</v>
      </c>
      <c r="B6" s="13">
        <v>0.161</v>
      </c>
      <c r="C6" s="13">
        <v>0</v>
      </c>
      <c r="D6" s="13">
        <v>0.755</v>
      </c>
      <c r="E6" s="13">
        <v>1.615</v>
      </c>
      <c r="F6" s="14">
        <v>2.3839999999999999</v>
      </c>
      <c r="G6" s="13">
        <v>1.3520000000000001</v>
      </c>
      <c r="H6" s="13">
        <v>0.40300000000000002</v>
      </c>
      <c r="I6" s="15">
        <v>0.44400000000000001</v>
      </c>
      <c r="J6" s="13">
        <v>0.45</v>
      </c>
      <c r="K6" s="13">
        <v>1.9239999999999999</v>
      </c>
      <c r="L6" s="14">
        <v>0.88800000000000001</v>
      </c>
      <c r="M6" s="13">
        <v>1.8959999999999999</v>
      </c>
      <c r="N6" s="13">
        <v>0.72199999999999998</v>
      </c>
      <c r="O6" s="13">
        <v>7.0000000000000001E-3</v>
      </c>
      <c r="P6" s="13">
        <v>0.152</v>
      </c>
    </row>
    <row r="7" spans="1:16" ht="20.149999999999999" customHeight="1" x14ac:dyDescent="0.3">
      <c r="A7" s="5">
        <f t="shared" si="1"/>
        <v>2.8</v>
      </c>
      <c r="B7" s="13">
        <v>0.159</v>
      </c>
      <c r="C7" s="13">
        <v>7.6999999999999999E-2</v>
      </c>
      <c r="D7" s="13">
        <v>0.95599999999999996</v>
      </c>
      <c r="E7" s="13">
        <v>1.105</v>
      </c>
      <c r="F7" s="14">
        <v>0.82499999999999996</v>
      </c>
      <c r="G7" s="13">
        <v>0.32200000000000001</v>
      </c>
      <c r="H7" s="13">
        <v>0.376</v>
      </c>
      <c r="I7" s="15">
        <v>0.84799999999999998</v>
      </c>
      <c r="J7" s="13">
        <v>0.52200000000000002</v>
      </c>
      <c r="K7" s="13">
        <v>7.2999999999999995E-2</v>
      </c>
      <c r="L7" s="14">
        <v>1.042</v>
      </c>
      <c r="M7" s="13">
        <v>1.173</v>
      </c>
      <c r="N7" s="13">
        <v>0.57599999999999996</v>
      </c>
      <c r="O7" s="13">
        <v>8.5000000000000006E-2</v>
      </c>
      <c r="P7" s="13">
        <v>0</v>
      </c>
    </row>
    <row r="8" spans="1:16" ht="20.149999999999999" customHeight="1" x14ac:dyDescent="0.3">
      <c r="A8" s="5">
        <f t="shared" si="1"/>
        <v>2.4</v>
      </c>
      <c r="B8" s="15">
        <v>0</v>
      </c>
      <c r="C8" s="15">
        <v>0.10299999999999999</v>
      </c>
      <c r="D8" s="15">
        <v>1.0189999999999999</v>
      </c>
      <c r="E8" s="15">
        <v>1.1499999999999999</v>
      </c>
      <c r="F8" s="14">
        <v>1.121</v>
      </c>
      <c r="G8" s="15">
        <v>0.22500000000000001</v>
      </c>
      <c r="H8" s="15">
        <v>0.2</v>
      </c>
      <c r="I8" s="15">
        <v>0.69499999999999995</v>
      </c>
      <c r="J8" s="15">
        <v>0.53300000000000003</v>
      </c>
      <c r="K8" s="15">
        <v>0.26100000000000001</v>
      </c>
      <c r="L8" s="14">
        <v>1.206</v>
      </c>
      <c r="M8" s="15">
        <v>0.98599999999999999</v>
      </c>
      <c r="N8" s="15">
        <v>0.38300000000000001</v>
      </c>
      <c r="O8" s="15">
        <v>0</v>
      </c>
      <c r="P8" s="15">
        <v>5.0000000000000001E-3</v>
      </c>
    </row>
    <row r="9" spans="1:16" ht="20.149999999999999" customHeight="1" x14ac:dyDescent="0.3">
      <c r="A9" s="5">
        <f t="shared" si="1"/>
        <v>2</v>
      </c>
      <c r="B9" s="13">
        <v>2.1000000000000001E-2</v>
      </c>
      <c r="C9" s="13">
        <v>0.16900000000000001</v>
      </c>
      <c r="D9" s="13">
        <v>0.77600000000000002</v>
      </c>
      <c r="E9" s="13">
        <v>1.0980000000000001</v>
      </c>
      <c r="F9" s="14">
        <v>0.58399999999999996</v>
      </c>
      <c r="G9" s="13">
        <v>0.26200000000000001</v>
      </c>
      <c r="H9" s="13">
        <v>0.159</v>
      </c>
      <c r="I9" s="15">
        <v>0.51600000000000001</v>
      </c>
      <c r="J9" s="13">
        <v>0.42</v>
      </c>
      <c r="K9" s="13">
        <v>0.44900000000000001</v>
      </c>
      <c r="L9" s="14">
        <v>0.52200000000000002</v>
      </c>
      <c r="M9" s="13">
        <v>1.161</v>
      </c>
      <c r="N9" s="13">
        <v>0.78500000000000003</v>
      </c>
      <c r="O9" s="13">
        <v>0.129</v>
      </c>
      <c r="P9" s="13">
        <v>0.21199999999999999</v>
      </c>
    </row>
    <row r="10" spans="1:16" ht="20.149999999999999" customHeight="1" x14ac:dyDescent="0.3">
      <c r="A10" s="5">
        <f t="shared" si="1"/>
        <v>1.6</v>
      </c>
      <c r="B10" s="13">
        <v>0.113</v>
      </c>
      <c r="C10" s="13">
        <v>0.16500000000000001</v>
      </c>
      <c r="D10" s="13">
        <v>1.0309999999999999</v>
      </c>
      <c r="E10" s="13">
        <v>1.851</v>
      </c>
      <c r="F10" s="14">
        <v>4.1479999999999997</v>
      </c>
      <c r="G10" s="13">
        <v>1.224</v>
      </c>
      <c r="H10" s="13">
        <v>0.35499999999999998</v>
      </c>
      <c r="I10" s="15">
        <v>0.66300000000000003</v>
      </c>
      <c r="J10" s="13">
        <v>0.52700000000000002</v>
      </c>
      <c r="K10" s="13">
        <v>0.97699999999999998</v>
      </c>
      <c r="L10" s="14">
        <v>5.798</v>
      </c>
      <c r="M10" s="13">
        <v>1.546</v>
      </c>
      <c r="N10" s="13">
        <v>1.0069999999999999</v>
      </c>
      <c r="O10" s="13">
        <v>0</v>
      </c>
      <c r="P10" s="13">
        <v>0.315</v>
      </c>
    </row>
    <row r="11" spans="1:16" ht="20.149999999999999" customHeight="1" x14ac:dyDescent="0.3">
      <c r="A11" s="5">
        <f t="shared" si="1"/>
        <v>1.2000000000000002</v>
      </c>
      <c r="B11" s="14">
        <v>0.10299999999999999</v>
      </c>
      <c r="C11" s="14">
        <v>0</v>
      </c>
      <c r="D11" s="14">
        <v>0.83699999999999997</v>
      </c>
      <c r="E11" s="14">
        <v>1.3220000000000001</v>
      </c>
      <c r="F11" s="14">
        <v>1.069</v>
      </c>
      <c r="G11" s="14">
        <v>5.3460000000000001</v>
      </c>
      <c r="H11" s="14">
        <v>8.5000000000000006E-2</v>
      </c>
      <c r="I11" s="14">
        <v>0.80800000000000005</v>
      </c>
      <c r="J11" s="14">
        <v>0.161</v>
      </c>
      <c r="K11" s="14">
        <v>2.8380000000000001</v>
      </c>
      <c r="L11" s="14">
        <v>0.82399999999999995</v>
      </c>
      <c r="M11" s="14">
        <v>4.1280000000000001</v>
      </c>
      <c r="N11" s="14">
        <v>1.117</v>
      </c>
      <c r="O11" s="14">
        <v>0</v>
      </c>
      <c r="P11" s="14">
        <v>4.2000000000000003E-2</v>
      </c>
    </row>
    <row r="12" spans="1:16" ht="20.149999999999999" customHeight="1" x14ac:dyDescent="0.3">
      <c r="A12" s="5">
        <f t="shared" si="1"/>
        <v>0.80000000000000016</v>
      </c>
      <c r="B12" s="13">
        <v>0.20399999999999999</v>
      </c>
      <c r="C12" s="13">
        <v>0</v>
      </c>
      <c r="D12" s="13">
        <v>0.53</v>
      </c>
      <c r="E12" s="13">
        <v>1.294</v>
      </c>
      <c r="F12" s="14">
        <v>4.8620000000000001</v>
      </c>
      <c r="G12" s="13">
        <v>2.1059999999999999</v>
      </c>
      <c r="H12" s="13">
        <v>0.14899999999999999</v>
      </c>
      <c r="I12" s="15">
        <v>0.60599999999999998</v>
      </c>
      <c r="J12" s="13">
        <v>0.36299999999999999</v>
      </c>
      <c r="K12" s="13">
        <v>1.0349999999999999</v>
      </c>
      <c r="L12" s="14">
        <v>3.6059999999999999</v>
      </c>
      <c r="M12" s="13">
        <v>1.161</v>
      </c>
      <c r="N12" s="13">
        <v>0.96399999999999997</v>
      </c>
      <c r="O12" s="13">
        <v>9.2999999999999999E-2</v>
      </c>
      <c r="P12" s="13">
        <v>0.13700000000000001</v>
      </c>
    </row>
    <row r="13" spans="1:16" ht="20.149999999999999" customHeight="1" x14ac:dyDescent="0.3">
      <c r="A13" s="5">
        <f t="shared" si="1"/>
        <v>0.40000000000000013</v>
      </c>
      <c r="B13" s="13">
        <v>0</v>
      </c>
      <c r="C13" s="13">
        <v>5.2999999999999999E-2</v>
      </c>
      <c r="D13" s="13">
        <v>0.29899999999999999</v>
      </c>
      <c r="E13" s="13">
        <v>0.51600000000000001</v>
      </c>
      <c r="F13" s="14">
        <v>0.308</v>
      </c>
      <c r="G13" s="13">
        <v>2.7E-2</v>
      </c>
      <c r="H13" s="13">
        <v>8.7999999999999995E-2</v>
      </c>
      <c r="I13" s="15">
        <v>0</v>
      </c>
      <c r="J13" s="13">
        <v>7.0999999999999994E-2</v>
      </c>
      <c r="K13" s="13">
        <v>5.6000000000000001E-2</v>
      </c>
      <c r="L13" s="14">
        <v>0.78700000000000003</v>
      </c>
      <c r="M13" s="13">
        <v>0.58499999999999996</v>
      </c>
      <c r="N13" s="13">
        <v>0.69299999999999995</v>
      </c>
      <c r="O13" s="13">
        <v>0.21299999999999999</v>
      </c>
      <c r="P13" s="13">
        <v>0.253</v>
      </c>
    </row>
    <row r="14" spans="1:16" ht="20.149999999999999" customHeight="1" x14ac:dyDescent="0.3">
      <c r="A14" s="5">
        <f t="shared" si="1"/>
        <v>0</v>
      </c>
      <c r="B14" s="13">
        <v>0</v>
      </c>
      <c r="C14" s="13">
        <v>0.33300000000000002</v>
      </c>
      <c r="D14" s="13">
        <v>0.16600000000000001</v>
      </c>
      <c r="E14" s="13">
        <v>0.60299999999999998</v>
      </c>
      <c r="F14" s="14">
        <v>0.38400000000000001</v>
      </c>
      <c r="G14" s="13">
        <v>0</v>
      </c>
      <c r="H14" s="13">
        <v>0</v>
      </c>
      <c r="I14" s="15">
        <v>0</v>
      </c>
      <c r="J14" s="13">
        <v>0</v>
      </c>
      <c r="K14" s="13">
        <v>0</v>
      </c>
      <c r="L14" s="14">
        <v>0.35499999999999998</v>
      </c>
      <c r="M14" s="13">
        <v>0.26700000000000002</v>
      </c>
      <c r="N14" s="13">
        <v>0.32900000000000001</v>
      </c>
      <c r="O14" s="13">
        <v>0.17100000000000001</v>
      </c>
      <c r="P14" s="13">
        <v>1.7999999999999999E-2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E955-4B99-4CD8-9340-7EAFBF415205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8">
        <v>3.4</v>
      </c>
      <c r="B2" s="18">
        <v>3.6</v>
      </c>
      <c r="C2" s="11">
        <v>1</v>
      </c>
      <c r="D2" s="12">
        <v>2.9969999999999999</v>
      </c>
      <c r="E2" s="17">
        <f>AVERAGE(D2:D16)</f>
        <v>3.4726666666666666</v>
      </c>
      <c r="F2" s="17">
        <f>_xlfn.VAR.S(D2:D16)</f>
        <v>0.76140552380952697</v>
      </c>
      <c r="H2" s="18">
        <v>5</v>
      </c>
      <c r="I2" s="18">
        <v>1.2</v>
      </c>
      <c r="J2" s="11">
        <v>1</v>
      </c>
      <c r="K2" s="12">
        <v>1.7609999999999999</v>
      </c>
      <c r="L2" s="17">
        <f>AVERAGE(K2:K16)</f>
        <v>2.8382666666666667</v>
      </c>
      <c r="M2" s="17">
        <f>_xlfn.VAR.S(K2:K16)</f>
        <v>0.74846592380952415</v>
      </c>
      <c r="O2" s="18">
        <v>4.5999999999999996</v>
      </c>
      <c r="P2" s="18">
        <v>3.2</v>
      </c>
      <c r="Q2" s="11">
        <v>1</v>
      </c>
      <c r="R2" s="12">
        <v>6.0999999999999999E-2</v>
      </c>
      <c r="S2" s="17">
        <f>AVERAGE(R2:R16)</f>
        <v>0.44993333333333324</v>
      </c>
      <c r="T2" s="17">
        <f>_xlfn.VAR.S(R2:R16)</f>
        <v>3.2328495238095271E-2</v>
      </c>
    </row>
    <row r="3" spans="1:20" ht="15" customHeight="1" x14ac:dyDescent="0.3">
      <c r="A3" s="18"/>
      <c r="B3" s="18"/>
      <c r="C3" s="11">
        <v>2</v>
      </c>
      <c r="D3" s="12">
        <v>2.5680000000000001</v>
      </c>
      <c r="E3" s="17"/>
      <c r="F3" s="17"/>
      <c r="H3" s="18"/>
      <c r="I3" s="18"/>
      <c r="J3" s="11">
        <v>2</v>
      </c>
      <c r="K3" s="12">
        <v>2.1019999999999999</v>
      </c>
      <c r="L3" s="17"/>
      <c r="M3" s="17"/>
      <c r="O3" s="18"/>
      <c r="P3" s="18"/>
      <c r="Q3" s="11">
        <v>2</v>
      </c>
      <c r="R3" s="12">
        <v>0.27900000000000003</v>
      </c>
      <c r="S3" s="17"/>
      <c r="T3" s="17"/>
    </row>
    <row r="4" spans="1:20" ht="15" customHeight="1" x14ac:dyDescent="0.3">
      <c r="A4" s="18"/>
      <c r="B4" s="18"/>
      <c r="C4" s="11">
        <v>3</v>
      </c>
      <c r="D4" s="12">
        <v>4.694</v>
      </c>
      <c r="E4" s="17"/>
      <c r="F4" s="17"/>
      <c r="H4" s="18"/>
      <c r="I4" s="18"/>
      <c r="J4" s="11">
        <v>3</v>
      </c>
      <c r="K4" s="12">
        <v>3.3769999999999998</v>
      </c>
      <c r="L4" s="17"/>
      <c r="M4" s="17"/>
      <c r="O4" s="18"/>
      <c r="P4" s="18"/>
      <c r="Q4" s="11">
        <v>3</v>
      </c>
      <c r="R4" s="12">
        <v>0.41499999999999998</v>
      </c>
      <c r="S4" s="17"/>
      <c r="T4" s="17"/>
    </row>
    <row r="5" spans="1:20" ht="15" customHeight="1" x14ac:dyDescent="0.3">
      <c r="A5" s="18"/>
      <c r="B5" s="18"/>
      <c r="C5" s="11">
        <v>4</v>
      </c>
      <c r="D5" s="12">
        <v>4.0720000000000001</v>
      </c>
      <c r="E5" s="17"/>
      <c r="F5" s="17"/>
      <c r="H5" s="18"/>
      <c r="I5" s="18"/>
      <c r="J5" s="11">
        <v>4</v>
      </c>
      <c r="K5" s="12">
        <v>3.6110000000000002</v>
      </c>
      <c r="L5" s="17"/>
      <c r="M5" s="17"/>
      <c r="O5" s="18"/>
      <c r="P5" s="18"/>
      <c r="Q5" s="11">
        <v>4</v>
      </c>
      <c r="R5" s="12">
        <v>0.29799999999999999</v>
      </c>
      <c r="S5" s="17"/>
      <c r="T5" s="17"/>
    </row>
    <row r="6" spans="1:20" ht="15" customHeight="1" x14ac:dyDescent="0.3">
      <c r="A6" s="18"/>
      <c r="B6" s="18"/>
      <c r="C6" s="11">
        <v>5</v>
      </c>
      <c r="D6" s="12">
        <v>2.6150000000000002</v>
      </c>
      <c r="E6" s="17"/>
      <c r="F6" s="17"/>
      <c r="H6" s="18"/>
      <c r="I6" s="18"/>
      <c r="J6" s="11">
        <v>5</v>
      </c>
      <c r="K6" s="12">
        <v>2.827</v>
      </c>
      <c r="L6" s="17"/>
      <c r="M6" s="17"/>
      <c r="O6" s="18"/>
      <c r="P6" s="18"/>
      <c r="Q6" s="11">
        <v>5</v>
      </c>
      <c r="R6" s="12">
        <v>0.60499999999999998</v>
      </c>
      <c r="S6" s="17"/>
      <c r="T6" s="17"/>
    </row>
    <row r="7" spans="1:20" ht="15" customHeight="1" x14ac:dyDescent="0.3">
      <c r="A7" s="18"/>
      <c r="B7" s="18"/>
      <c r="C7" s="11">
        <v>6</v>
      </c>
      <c r="D7" s="12">
        <v>3.649</v>
      </c>
      <c r="E7" s="17"/>
      <c r="F7" s="17"/>
      <c r="H7" s="18"/>
      <c r="I7" s="18"/>
      <c r="J7" s="11">
        <v>6</v>
      </c>
      <c r="K7" s="12">
        <v>1.91</v>
      </c>
      <c r="L7" s="17"/>
      <c r="M7" s="17"/>
      <c r="O7" s="18"/>
      <c r="P7" s="18"/>
      <c r="Q7" s="11">
        <v>6</v>
      </c>
      <c r="R7" s="12">
        <v>0.51900000000000002</v>
      </c>
      <c r="S7" s="17"/>
      <c r="T7" s="17"/>
    </row>
    <row r="8" spans="1:20" ht="15" customHeight="1" x14ac:dyDescent="0.3">
      <c r="A8" s="18"/>
      <c r="B8" s="18"/>
      <c r="C8" s="11">
        <v>7</v>
      </c>
      <c r="D8" s="12">
        <v>3.7810000000000001</v>
      </c>
      <c r="E8" s="17"/>
      <c r="F8" s="17"/>
      <c r="H8" s="18"/>
      <c r="I8" s="18"/>
      <c r="J8" s="11">
        <v>7</v>
      </c>
      <c r="K8" s="12">
        <v>2.657</v>
      </c>
      <c r="L8" s="17"/>
      <c r="M8" s="17"/>
      <c r="O8" s="18"/>
      <c r="P8" s="18"/>
      <c r="Q8" s="11">
        <v>7</v>
      </c>
      <c r="R8" s="12">
        <v>0.61499999999999999</v>
      </c>
      <c r="S8" s="17"/>
      <c r="T8" s="17"/>
    </row>
    <row r="9" spans="1:20" ht="15" customHeight="1" x14ac:dyDescent="0.3">
      <c r="A9" s="18"/>
      <c r="B9" s="18"/>
      <c r="C9" s="11">
        <v>8</v>
      </c>
      <c r="D9" s="12">
        <v>2.7170000000000001</v>
      </c>
      <c r="E9" s="17"/>
      <c r="F9" s="17"/>
      <c r="H9" s="18"/>
      <c r="I9" s="18"/>
      <c r="J9" s="11">
        <v>8</v>
      </c>
      <c r="K9" s="12">
        <v>3.177</v>
      </c>
      <c r="L9" s="17"/>
      <c r="M9" s="17"/>
      <c r="O9" s="18"/>
      <c r="P9" s="18"/>
      <c r="Q9" s="11">
        <v>8</v>
      </c>
      <c r="R9" s="12">
        <v>0.66700000000000004</v>
      </c>
      <c r="S9" s="17"/>
      <c r="T9" s="17"/>
    </row>
    <row r="10" spans="1:20" ht="15" customHeight="1" x14ac:dyDescent="0.3">
      <c r="A10" s="18"/>
      <c r="B10" s="18"/>
      <c r="C10" s="11">
        <v>9</v>
      </c>
      <c r="D10" s="12">
        <v>2.6019999999999999</v>
      </c>
      <c r="E10" s="17"/>
      <c r="F10" s="17"/>
      <c r="H10" s="18"/>
      <c r="I10" s="18"/>
      <c r="J10" s="11">
        <v>9</v>
      </c>
      <c r="K10" s="12">
        <v>2.9159999999999999</v>
      </c>
      <c r="L10" s="17"/>
      <c r="M10" s="17"/>
      <c r="O10" s="18"/>
      <c r="P10" s="18"/>
      <c r="Q10" s="11">
        <v>9</v>
      </c>
      <c r="R10" s="12">
        <v>0.66900000000000004</v>
      </c>
      <c r="S10" s="17"/>
      <c r="T10" s="17"/>
    </row>
    <row r="11" spans="1:20" ht="15" customHeight="1" x14ac:dyDescent="0.3">
      <c r="A11" s="18"/>
      <c r="B11" s="18"/>
      <c r="C11" s="11">
        <v>10</v>
      </c>
      <c r="D11" s="12">
        <v>2.64</v>
      </c>
      <c r="E11" s="17"/>
      <c r="F11" s="17"/>
      <c r="H11" s="18"/>
      <c r="I11" s="18"/>
      <c r="J11" s="11">
        <v>10</v>
      </c>
      <c r="K11" s="12">
        <v>3.9079999999999999</v>
      </c>
      <c r="L11" s="17"/>
      <c r="M11" s="17"/>
      <c r="O11" s="18"/>
      <c r="P11" s="18"/>
      <c r="Q11" s="11">
        <v>10</v>
      </c>
      <c r="R11" s="12">
        <v>0.56799999999999995</v>
      </c>
      <c r="S11" s="17"/>
      <c r="T11" s="17"/>
    </row>
    <row r="12" spans="1:20" ht="15" customHeight="1" x14ac:dyDescent="0.3">
      <c r="A12" s="18"/>
      <c r="B12" s="18"/>
      <c r="C12" s="11">
        <v>11</v>
      </c>
      <c r="D12" s="12">
        <v>5.1020000000000003</v>
      </c>
      <c r="E12" s="17"/>
      <c r="F12" s="17"/>
      <c r="H12" s="18"/>
      <c r="I12" s="18"/>
      <c r="J12" s="11">
        <v>11</v>
      </c>
      <c r="K12" s="12">
        <v>4.0890000000000004</v>
      </c>
      <c r="L12" s="17"/>
      <c r="M12" s="17"/>
      <c r="O12" s="18"/>
      <c r="P12" s="18"/>
      <c r="Q12" s="11">
        <v>11</v>
      </c>
      <c r="R12" s="12">
        <v>0.46700000000000003</v>
      </c>
      <c r="S12" s="17"/>
      <c r="T12" s="17"/>
    </row>
    <row r="13" spans="1:20" ht="15" customHeight="1" x14ac:dyDescent="0.3">
      <c r="A13" s="18"/>
      <c r="B13" s="18"/>
      <c r="C13" s="11">
        <v>12</v>
      </c>
      <c r="D13" s="12">
        <v>4.3250000000000002</v>
      </c>
      <c r="E13" s="17"/>
      <c r="F13" s="17"/>
      <c r="H13" s="18"/>
      <c r="I13" s="18"/>
      <c r="J13" s="11">
        <v>12</v>
      </c>
      <c r="K13" s="12">
        <v>4.0590000000000002</v>
      </c>
      <c r="L13" s="17"/>
      <c r="M13" s="17"/>
      <c r="O13" s="18"/>
      <c r="P13" s="18"/>
      <c r="Q13" s="11">
        <v>12</v>
      </c>
      <c r="R13" s="12">
        <v>0.626</v>
      </c>
      <c r="S13" s="17"/>
      <c r="T13" s="17"/>
    </row>
    <row r="14" spans="1:20" ht="15" customHeight="1" x14ac:dyDescent="0.3">
      <c r="A14" s="18"/>
      <c r="B14" s="18"/>
      <c r="C14" s="11">
        <v>13</v>
      </c>
      <c r="D14" s="12">
        <v>4.4400000000000004</v>
      </c>
      <c r="E14" s="17"/>
      <c r="F14" s="17"/>
      <c r="H14" s="18"/>
      <c r="I14" s="18"/>
      <c r="J14" s="11">
        <v>13</v>
      </c>
      <c r="K14" s="12">
        <v>2.6280000000000001</v>
      </c>
      <c r="L14" s="17"/>
      <c r="M14" s="17"/>
      <c r="O14" s="18"/>
      <c r="P14" s="18"/>
      <c r="Q14" s="11">
        <v>13</v>
      </c>
      <c r="R14" s="12">
        <v>0.313</v>
      </c>
      <c r="S14" s="17"/>
      <c r="T14" s="17"/>
    </row>
    <row r="15" spans="1:20" ht="15" customHeight="1" x14ac:dyDescent="0.3">
      <c r="A15" s="18"/>
      <c r="B15" s="18"/>
      <c r="C15" s="11">
        <v>14</v>
      </c>
      <c r="D15" s="12">
        <v>2.899</v>
      </c>
      <c r="E15" s="17"/>
      <c r="F15" s="17"/>
      <c r="H15" s="18"/>
      <c r="I15" s="18"/>
      <c r="J15" s="11">
        <v>14</v>
      </c>
      <c r="K15" s="12">
        <v>1.3440000000000001</v>
      </c>
      <c r="L15" s="17"/>
      <c r="M15" s="17"/>
      <c r="O15" s="18"/>
      <c r="P15" s="18"/>
      <c r="Q15" s="11">
        <v>14</v>
      </c>
      <c r="R15" s="12">
        <v>0.30499999999999999</v>
      </c>
      <c r="S15" s="17"/>
      <c r="T15" s="17"/>
    </row>
    <row r="16" spans="1:20" ht="15" customHeight="1" x14ac:dyDescent="0.3">
      <c r="A16" s="18"/>
      <c r="B16" s="18"/>
      <c r="C16" s="11">
        <v>15</v>
      </c>
      <c r="D16" s="12">
        <v>2.9889999999999999</v>
      </c>
      <c r="E16" s="17"/>
      <c r="F16" s="17"/>
      <c r="H16" s="18"/>
      <c r="I16" s="18"/>
      <c r="J16" s="11">
        <v>15</v>
      </c>
      <c r="K16" s="12">
        <v>2.2080000000000002</v>
      </c>
      <c r="L16" s="17"/>
      <c r="M16" s="17"/>
      <c r="O16" s="18"/>
      <c r="P16" s="18"/>
      <c r="Q16" s="11">
        <v>15</v>
      </c>
      <c r="R16" s="12">
        <v>0.34200000000000003</v>
      </c>
      <c r="S16" s="17"/>
      <c r="T16" s="17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8">
        <v>4.2</v>
      </c>
      <c r="B19" s="18">
        <v>2.4</v>
      </c>
      <c r="C19" s="11">
        <v>1</v>
      </c>
      <c r="D19" s="12">
        <v>0.53500000000000003</v>
      </c>
      <c r="E19" s="17">
        <f>AVERAGE(D19:D33)</f>
        <v>0.69459999999999988</v>
      </c>
      <c r="F19" s="17">
        <f>_xlfn.VAR.S(D19:D33)</f>
        <v>2.1840257142857311E-2</v>
      </c>
      <c r="H19" s="18">
        <v>6.2</v>
      </c>
      <c r="I19" s="18">
        <v>0</v>
      </c>
      <c r="J19" s="11">
        <v>1</v>
      </c>
      <c r="K19" s="12">
        <v>0.47799999999999998</v>
      </c>
      <c r="L19" s="17">
        <f>AVERAGE(K19:K33)</f>
        <v>0.3289333333333333</v>
      </c>
      <c r="M19" s="17">
        <f>_xlfn.VAR.S(K19:K33)</f>
        <v>1.4373066666666681E-2</v>
      </c>
      <c r="O19" s="18">
        <v>0</v>
      </c>
      <c r="P19" s="18">
        <v>4.8</v>
      </c>
      <c r="Q19" s="11">
        <v>1</v>
      </c>
      <c r="R19" s="12">
        <v>0.113</v>
      </c>
      <c r="S19" s="17">
        <f>AVERAGE(R19:R33)</f>
        <v>9.5600000000000004E-2</v>
      </c>
      <c r="T19" s="17">
        <f>_xlfn.VAR.S(R19:R33)</f>
        <v>6.0716857142857116E-3</v>
      </c>
    </row>
    <row r="20" spans="1:20" ht="15" customHeight="1" x14ac:dyDescent="0.3">
      <c r="A20" s="18"/>
      <c r="B20" s="18"/>
      <c r="C20" s="11">
        <v>2</v>
      </c>
      <c r="D20" s="12">
        <v>0.57699999999999996</v>
      </c>
      <c r="E20" s="17"/>
      <c r="F20" s="17"/>
      <c r="H20" s="18"/>
      <c r="I20" s="18"/>
      <c r="J20" s="11">
        <v>2</v>
      </c>
      <c r="K20" s="12">
        <v>0.19500000000000001</v>
      </c>
      <c r="L20" s="17"/>
      <c r="M20" s="17"/>
      <c r="O20" s="18"/>
      <c r="P20" s="18"/>
      <c r="Q20" s="11">
        <v>2</v>
      </c>
      <c r="R20" s="12">
        <v>0.14899999999999999</v>
      </c>
      <c r="S20" s="17"/>
      <c r="T20" s="17"/>
    </row>
    <row r="21" spans="1:20" ht="15" customHeight="1" x14ac:dyDescent="0.3">
      <c r="A21" s="18"/>
      <c r="B21" s="18"/>
      <c r="C21" s="11">
        <v>3</v>
      </c>
      <c r="D21" s="12">
        <v>0.77900000000000003</v>
      </c>
      <c r="E21" s="17"/>
      <c r="F21" s="17"/>
      <c r="H21" s="18"/>
      <c r="I21" s="18"/>
      <c r="J21" s="11">
        <v>3</v>
      </c>
      <c r="K21" s="12">
        <v>0.17799999999999999</v>
      </c>
      <c r="L21" s="17"/>
      <c r="M21" s="17"/>
      <c r="O21" s="18"/>
      <c r="P21" s="18"/>
      <c r="Q21" s="11">
        <v>3</v>
      </c>
      <c r="R21" s="12">
        <v>7.6999999999999999E-2</v>
      </c>
      <c r="S21" s="17"/>
      <c r="T21" s="17"/>
    </row>
    <row r="22" spans="1:20" ht="15" customHeight="1" x14ac:dyDescent="0.3">
      <c r="A22" s="18"/>
      <c r="B22" s="18"/>
      <c r="C22" s="11">
        <v>4</v>
      </c>
      <c r="D22" s="12">
        <v>0.63500000000000001</v>
      </c>
      <c r="E22" s="17"/>
      <c r="F22" s="17"/>
      <c r="H22" s="18"/>
      <c r="I22" s="18"/>
      <c r="J22" s="11">
        <v>4</v>
      </c>
      <c r="K22" s="12">
        <v>0.41199999999999998</v>
      </c>
      <c r="L22" s="17"/>
      <c r="M22" s="17"/>
      <c r="O22" s="18"/>
      <c r="P22" s="18"/>
      <c r="Q22" s="11">
        <v>4</v>
      </c>
      <c r="R22" s="12">
        <v>0.25900000000000001</v>
      </c>
      <c r="S22" s="17"/>
      <c r="T22" s="17"/>
    </row>
    <row r="23" spans="1:20" ht="15" customHeight="1" x14ac:dyDescent="0.3">
      <c r="A23" s="18"/>
      <c r="B23" s="18"/>
      <c r="C23" s="11">
        <v>5</v>
      </c>
      <c r="D23" s="12">
        <v>0.41499999999999998</v>
      </c>
      <c r="E23" s="17"/>
      <c r="F23" s="17"/>
      <c r="H23" s="18"/>
      <c r="I23" s="18"/>
      <c r="J23" s="11">
        <v>5</v>
      </c>
      <c r="K23" s="12">
        <v>0.23</v>
      </c>
      <c r="L23" s="17"/>
      <c r="M23" s="17"/>
      <c r="O23" s="18"/>
      <c r="P23" s="18"/>
      <c r="Q23" s="11">
        <v>5</v>
      </c>
      <c r="R23" s="12">
        <v>2.7E-2</v>
      </c>
      <c r="S23" s="17"/>
      <c r="T23" s="17"/>
    </row>
    <row r="24" spans="1:20" ht="15" customHeight="1" x14ac:dyDescent="0.3">
      <c r="A24" s="18"/>
      <c r="B24" s="18"/>
      <c r="C24" s="11">
        <v>6</v>
      </c>
      <c r="D24" s="12">
        <v>0.65400000000000003</v>
      </c>
      <c r="E24" s="17"/>
      <c r="F24" s="17"/>
      <c r="H24" s="18"/>
      <c r="I24" s="18"/>
      <c r="J24" s="11">
        <v>6</v>
      </c>
      <c r="K24" s="12">
        <v>0.25900000000000001</v>
      </c>
      <c r="L24" s="17"/>
      <c r="M24" s="17"/>
      <c r="O24" s="18"/>
      <c r="P24" s="18"/>
      <c r="Q24" s="11">
        <v>6</v>
      </c>
      <c r="R24" s="12">
        <v>0</v>
      </c>
      <c r="S24" s="17"/>
      <c r="T24" s="17"/>
    </row>
    <row r="25" spans="1:20" ht="15" customHeight="1" x14ac:dyDescent="0.3">
      <c r="A25" s="18"/>
      <c r="B25" s="18"/>
      <c r="C25" s="11">
        <v>7</v>
      </c>
      <c r="D25" s="12">
        <v>0.64600000000000002</v>
      </c>
      <c r="E25" s="17"/>
      <c r="F25" s="17"/>
      <c r="H25" s="18"/>
      <c r="I25" s="18"/>
      <c r="J25" s="11">
        <v>7</v>
      </c>
      <c r="K25" s="12">
        <v>0.23</v>
      </c>
      <c r="L25" s="17"/>
      <c r="M25" s="17"/>
      <c r="O25" s="18"/>
      <c r="P25" s="18"/>
      <c r="Q25" s="11">
        <v>7</v>
      </c>
      <c r="R25" s="12">
        <v>3.3000000000000002E-2</v>
      </c>
      <c r="S25" s="17"/>
      <c r="T25" s="17"/>
    </row>
    <row r="26" spans="1:20" ht="15" customHeight="1" x14ac:dyDescent="0.3">
      <c r="A26" s="18"/>
      <c r="B26" s="18"/>
      <c r="C26" s="11">
        <v>8</v>
      </c>
      <c r="D26" s="12">
        <v>0.83399999999999996</v>
      </c>
      <c r="E26" s="17"/>
      <c r="F26" s="17"/>
      <c r="H26" s="18"/>
      <c r="I26" s="18"/>
      <c r="J26" s="11">
        <v>8</v>
      </c>
      <c r="K26" s="12">
        <v>0.28399999999999997</v>
      </c>
      <c r="L26" s="17"/>
      <c r="M26" s="17"/>
      <c r="O26" s="18"/>
      <c r="P26" s="18"/>
      <c r="Q26" s="11">
        <v>8</v>
      </c>
      <c r="R26" s="12">
        <v>8.5999999999999993E-2</v>
      </c>
      <c r="S26" s="17"/>
      <c r="T26" s="17"/>
    </row>
    <row r="27" spans="1:20" ht="15" customHeight="1" x14ac:dyDescent="0.3">
      <c r="A27" s="18"/>
      <c r="B27" s="18"/>
      <c r="C27" s="11">
        <v>9</v>
      </c>
      <c r="D27" s="12">
        <v>1.002</v>
      </c>
      <c r="E27" s="17"/>
      <c r="F27" s="17"/>
      <c r="H27" s="18"/>
      <c r="I27" s="18"/>
      <c r="J27" s="11">
        <v>9</v>
      </c>
      <c r="K27" s="12">
        <v>0.247</v>
      </c>
      <c r="L27" s="17"/>
      <c r="M27" s="17"/>
      <c r="O27" s="18"/>
      <c r="P27" s="18"/>
      <c r="Q27" s="11">
        <v>9</v>
      </c>
      <c r="R27" s="12">
        <v>0.2</v>
      </c>
      <c r="S27" s="17"/>
      <c r="T27" s="17"/>
    </row>
    <row r="28" spans="1:20" ht="15" customHeight="1" x14ac:dyDescent="0.3">
      <c r="A28" s="18"/>
      <c r="B28" s="18"/>
      <c r="C28" s="11">
        <v>10</v>
      </c>
      <c r="D28" s="12">
        <v>0.81399999999999995</v>
      </c>
      <c r="E28" s="17"/>
      <c r="F28" s="17"/>
      <c r="H28" s="18"/>
      <c r="I28" s="18"/>
      <c r="J28" s="11">
        <v>10</v>
      </c>
      <c r="K28" s="12">
        <v>0.52600000000000002</v>
      </c>
      <c r="L28" s="17"/>
      <c r="M28" s="17"/>
      <c r="O28" s="18"/>
      <c r="P28" s="18"/>
      <c r="Q28" s="11">
        <v>10</v>
      </c>
      <c r="R28" s="12">
        <v>0.1</v>
      </c>
      <c r="S28" s="17"/>
      <c r="T28" s="17"/>
    </row>
    <row r="29" spans="1:20" ht="15" customHeight="1" x14ac:dyDescent="0.3">
      <c r="A29" s="18"/>
      <c r="B29" s="18"/>
      <c r="C29" s="11">
        <v>11</v>
      </c>
      <c r="D29" s="12">
        <v>0.747</v>
      </c>
      <c r="E29" s="17"/>
      <c r="F29" s="17"/>
      <c r="H29" s="18"/>
      <c r="I29" s="18"/>
      <c r="J29" s="11">
        <v>11</v>
      </c>
      <c r="K29" s="12">
        <v>0.53700000000000003</v>
      </c>
      <c r="L29" s="17"/>
      <c r="M29" s="17"/>
      <c r="O29" s="18"/>
      <c r="P29" s="18"/>
      <c r="Q29" s="11">
        <v>11</v>
      </c>
      <c r="R29" s="12">
        <v>0.18</v>
      </c>
      <c r="S29" s="17"/>
      <c r="T29" s="17"/>
    </row>
    <row r="30" spans="1:20" ht="15" customHeight="1" x14ac:dyDescent="0.3">
      <c r="A30" s="18"/>
      <c r="B30" s="18"/>
      <c r="C30" s="11">
        <v>12</v>
      </c>
      <c r="D30" s="12">
        <v>0.626</v>
      </c>
      <c r="E30" s="17"/>
      <c r="F30" s="17"/>
      <c r="H30" s="18"/>
      <c r="I30" s="18"/>
      <c r="J30" s="11">
        <v>12</v>
      </c>
      <c r="K30" s="12">
        <v>0.44700000000000001</v>
      </c>
      <c r="L30" s="17"/>
      <c r="M30" s="17"/>
      <c r="O30" s="18"/>
      <c r="P30" s="18"/>
      <c r="Q30" s="11">
        <v>12</v>
      </c>
      <c r="R30" s="12">
        <v>0.09</v>
      </c>
      <c r="S30" s="17"/>
      <c r="T30" s="17"/>
    </row>
    <row r="31" spans="1:20" ht="15" customHeight="1" x14ac:dyDescent="0.3">
      <c r="A31" s="18"/>
      <c r="B31" s="18"/>
      <c r="C31" s="11">
        <v>13</v>
      </c>
      <c r="D31" s="12">
        <v>0.76300000000000001</v>
      </c>
      <c r="E31" s="17"/>
      <c r="F31" s="17"/>
      <c r="H31" s="18"/>
      <c r="I31" s="18"/>
      <c r="J31" s="11">
        <v>13</v>
      </c>
      <c r="K31" s="12">
        <v>0.30499999999999999</v>
      </c>
      <c r="L31" s="17"/>
      <c r="M31" s="17"/>
      <c r="O31" s="18"/>
      <c r="P31" s="18"/>
      <c r="Q31" s="11">
        <v>13</v>
      </c>
      <c r="R31" s="12">
        <v>0</v>
      </c>
      <c r="S31" s="17"/>
      <c r="T31" s="17"/>
    </row>
    <row r="32" spans="1:20" ht="15" customHeight="1" x14ac:dyDescent="0.3">
      <c r="A32" s="18"/>
      <c r="B32" s="18"/>
      <c r="C32" s="11">
        <v>14</v>
      </c>
      <c r="D32" s="12">
        <v>0.82499999999999996</v>
      </c>
      <c r="E32" s="17"/>
      <c r="F32" s="17"/>
      <c r="H32" s="18"/>
      <c r="I32" s="18"/>
      <c r="J32" s="11">
        <v>14</v>
      </c>
      <c r="K32" s="12">
        <v>0.29299999999999998</v>
      </c>
      <c r="L32" s="17"/>
      <c r="M32" s="17"/>
      <c r="O32" s="18"/>
      <c r="P32" s="18"/>
      <c r="Q32" s="11">
        <v>14</v>
      </c>
      <c r="R32" s="12">
        <v>0</v>
      </c>
      <c r="S32" s="17"/>
      <c r="T32" s="17"/>
    </row>
    <row r="33" spans="1:20" ht="15" customHeight="1" x14ac:dyDescent="0.3">
      <c r="A33" s="18"/>
      <c r="B33" s="18"/>
      <c r="C33" s="11">
        <v>15</v>
      </c>
      <c r="D33" s="12">
        <v>0.56699999999999995</v>
      </c>
      <c r="E33" s="17"/>
      <c r="F33" s="17"/>
      <c r="H33" s="18"/>
      <c r="I33" s="18"/>
      <c r="J33" s="11">
        <v>15</v>
      </c>
      <c r="K33" s="12">
        <v>0.313</v>
      </c>
      <c r="L33" s="17"/>
      <c r="M33" s="17"/>
      <c r="O33" s="18"/>
      <c r="P33" s="18"/>
      <c r="Q33" s="11">
        <v>15</v>
      </c>
      <c r="R33" s="12">
        <v>0.12</v>
      </c>
      <c r="S33" s="17"/>
      <c r="T33" s="17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8A79-B210-42EC-9C29-0A650A4281BD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>I1+0.4</f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</v>
      </c>
      <c r="C2" s="13">
        <v>7.1999999999999995E-2</v>
      </c>
      <c r="D2" s="13">
        <v>0.36899999999999999</v>
      </c>
      <c r="E2" s="13">
        <v>0.60599999999999998</v>
      </c>
      <c r="F2" s="14">
        <v>0.55500000000000005</v>
      </c>
      <c r="G2" s="13">
        <v>0.27500000000000002</v>
      </c>
      <c r="H2" s="13">
        <v>0.253</v>
      </c>
      <c r="I2" s="15">
        <v>0.24099999999999999</v>
      </c>
      <c r="J2" s="13">
        <v>0.21099999999999999</v>
      </c>
      <c r="K2" s="13">
        <v>0.39900000000000002</v>
      </c>
      <c r="L2" s="14">
        <v>0.47199999999999998</v>
      </c>
      <c r="M2" s="13">
        <v>0.18</v>
      </c>
      <c r="N2" s="13">
        <v>5.1999999999999998E-2</v>
      </c>
      <c r="O2" s="13">
        <v>0</v>
      </c>
      <c r="P2" s="13">
        <v>5.2999999999999999E-2</v>
      </c>
    </row>
    <row r="3" spans="1:16" ht="20.149999999999999" customHeight="1" x14ac:dyDescent="0.3">
      <c r="A3" s="5">
        <f>A2-0.4</f>
        <v>4.3999999999999995</v>
      </c>
      <c r="B3" s="13">
        <v>0</v>
      </c>
      <c r="C3" s="13">
        <v>0</v>
      </c>
      <c r="D3" s="13">
        <v>0.36199999999999999</v>
      </c>
      <c r="E3" s="13">
        <v>0.58699999999999997</v>
      </c>
      <c r="F3" s="14">
        <v>0.76700000000000002</v>
      </c>
      <c r="G3" s="13">
        <v>0.19500000000000001</v>
      </c>
      <c r="H3" s="13">
        <v>7.6999999999999999E-2</v>
      </c>
      <c r="I3" s="15">
        <v>0.33200000000000002</v>
      </c>
      <c r="J3" s="13">
        <v>0.318</v>
      </c>
      <c r="K3" s="13">
        <v>0.40899999999999997</v>
      </c>
      <c r="L3" s="14">
        <v>0.108</v>
      </c>
      <c r="M3" s="13">
        <v>0.498</v>
      </c>
      <c r="N3" s="13">
        <v>0.11</v>
      </c>
      <c r="O3" s="13">
        <v>0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</v>
      </c>
      <c r="C4" s="13">
        <v>0</v>
      </c>
      <c r="D4" s="13">
        <v>0.72499999999999998</v>
      </c>
      <c r="E4" s="13">
        <v>4.93</v>
      </c>
      <c r="F4" s="14">
        <v>1.0329999999999999</v>
      </c>
      <c r="G4" s="13">
        <v>2.1110000000000002</v>
      </c>
      <c r="H4" s="13">
        <v>0.58199999999999996</v>
      </c>
      <c r="I4" s="15">
        <v>0.50900000000000001</v>
      </c>
      <c r="J4" s="13">
        <v>0.379</v>
      </c>
      <c r="K4" s="13">
        <v>5.4459999999999997</v>
      </c>
      <c r="L4" s="14">
        <v>2.2970000000000002</v>
      </c>
      <c r="M4" s="13">
        <v>1.204</v>
      </c>
      <c r="N4" s="13">
        <v>0.28399999999999997</v>
      </c>
      <c r="O4" s="13">
        <v>0</v>
      </c>
      <c r="P4" s="13">
        <v>0</v>
      </c>
    </row>
    <row r="5" spans="1:16" ht="20.149999999999999" customHeight="1" x14ac:dyDescent="0.3">
      <c r="A5" s="5">
        <f t="shared" si="1"/>
        <v>3.5999999999999996</v>
      </c>
      <c r="B5" s="14">
        <v>3.0000000000000001E-3</v>
      </c>
      <c r="C5" s="14">
        <v>0.02</v>
      </c>
      <c r="D5" s="14">
        <v>0.41499999999999998</v>
      </c>
      <c r="E5" s="14">
        <v>3.3220000000000001</v>
      </c>
      <c r="F5" s="14">
        <v>1.327</v>
      </c>
      <c r="G5" s="14">
        <v>2.1219999999999999</v>
      </c>
      <c r="H5" s="14">
        <v>0.60299999999999998</v>
      </c>
      <c r="I5" s="14">
        <v>0.28399999999999997</v>
      </c>
      <c r="J5" s="14">
        <v>0.54600000000000004</v>
      </c>
      <c r="K5" s="14">
        <v>2.395</v>
      </c>
      <c r="L5" s="14">
        <v>1.141</v>
      </c>
      <c r="M5" s="14">
        <v>4.21</v>
      </c>
      <c r="N5" s="14">
        <v>0.441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0.13700000000000001</v>
      </c>
      <c r="C6" s="13">
        <v>0</v>
      </c>
      <c r="D6" s="13">
        <v>0.83099999999999996</v>
      </c>
      <c r="E6" s="13">
        <v>1.728</v>
      </c>
      <c r="F6" s="14">
        <v>1.3919999999999999</v>
      </c>
      <c r="G6" s="13">
        <v>2.5990000000000002</v>
      </c>
      <c r="H6" s="13">
        <v>0.28399999999999997</v>
      </c>
      <c r="I6" s="15">
        <v>0.51200000000000001</v>
      </c>
      <c r="J6" s="13">
        <v>1.413</v>
      </c>
      <c r="K6" s="13">
        <v>2.984</v>
      </c>
      <c r="L6" s="14">
        <v>1.952</v>
      </c>
      <c r="M6" s="13">
        <v>1.5369999999999999</v>
      </c>
      <c r="N6" s="13">
        <v>0.25800000000000001</v>
      </c>
      <c r="O6" s="13">
        <v>0</v>
      </c>
      <c r="P6" s="13">
        <v>5.8000000000000003E-2</v>
      </c>
    </row>
    <row r="7" spans="1:16" ht="20.149999999999999" customHeight="1" x14ac:dyDescent="0.3">
      <c r="A7" s="5">
        <f t="shared" si="1"/>
        <v>2.8</v>
      </c>
      <c r="B7" s="13">
        <v>0.20899999999999999</v>
      </c>
      <c r="C7" s="13">
        <v>0.27600000000000002</v>
      </c>
      <c r="D7" s="13">
        <v>0.88500000000000001</v>
      </c>
      <c r="E7" s="13">
        <v>1.21</v>
      </c>
      <c r="F7" s="14">
        <v>0.47299999999999998</v>
      </c>
      <c r="G7" s="13">
        <v>0.33500000000000002</v>
      </c>
      <c r="H7" s="13">
        <v>0.2</v>
      </c>
      <c r="I7" s="15">
        <v>0.64200000000000002</v>
      </c>
      <c r="J7" s="13">
        <v>0.17199999999999999</v>
      </c>
      <c r="K7" s="13">
        <v>0.53</v>
      </c>
      <c r="L7" s="14">
        <v>0.41699999999999998</v>
      </c>
      <c r="M7" s="13">
        <v>1.081</v>
      </c>
      <c r="N7" s="13">
        <v>0.439</v>
      </c>
      <c r="O7" s="13">
        <v>0.39300000000000002</v>
      </c>
      <c r="P7" s="13">
        <v>0.125</v>
      </c>
    </row>
    <row r="8" spans="1:16" ht="20.149999999999999" customHeight="1" x14ac:dyDescent="0.3">
      <c r="A8" s="5">
        <f t="shared" si="1"/>
        <v>2.4</v>
      </c>
      <c r="B8" s="15">
        <v>1.2E-2</v>
      </c>
      <c r="C8" s="15">
        <v>0.39400000000000002</v>
      </c>
      <c r="D8" s="15">
        <v>1.0840000000000001</v>
      </c>
      <c r="E8" s="15">
        <v>1.0940000000000001</v>
      </c>
      <c r="F8" s="14">
        <v>0.443</v>
      </c>
      <c r="G8" s="15">
        <v>0.35</v>
      </c>
      <c r="H8" s="15">
        <v>0.19400000000000001</v>
      </c>
      <c r="I8" s="15">
        <v>0.61199999999999999</v>
      </c>
      <c r="J8" s="15">
        <v>0.35499999999999998</v>
      </c>
      <c r="K8" s="15">
        <v>0.26200000000000001</v>
      </c>
      <c r="L8" s="14">
        <v>0</v>
      </c>
      <c r="M8" s="15">
        <v>0.66900000000000004</v>
      </c>
      <c r="N8" s="15">
        <v>0.98599999999999999</v>
      </c>
      <c r="O8" s="15">
        <v>4.3999999999999997E-2</v>
      </c>
      <c r="P8" s="15">
        <v>1.6E-2</v>
      </c>
    </row>
    <row r="9" spans="1:16" ht="20.149999999999999" customHeight="1" x14ac:dyDescent="0.3">
      <c r="A9" s="5">
        <f t="shared" si="1"/>
        <v>2</v>
      </c>
      <c r="B9" s="13">
        <v>0</v>
      </c>
      <c r="C9" s="13">
        <v>0.19800000000000001</v>
      </c>
      <c r="D9" s="13">
        <v>0.79500000000000004</v>
      </c>
      <c r="E9" s="13">
        <v>1.2849999999999999</v>
      </c>
      <c r="F9" s="14">
        <v>0.88300000000000001</v>
      </c>
      <c r="G9" s="13">
        <v>0.33900000000000002</v>
      </c>
      <c r="H9" s="13">
        <v>0.32</v>
      </c>
      <c r="I9" s="15">
        <v>0.42099999999999999</v>
      </c>
      <c r="J9" s="13">
        <v>0.27800000000000002</v>
      </c>
      <c r="K9" s="13">
        <v>0.63400000000000001</v>
      </c>
      <c r="L9" s="14">
        <v>0.78</v>
      </c>
      <c r="M9" s="13">
        <v>0.622</v>
      </c>
      <c r="N9" s="13">
        <v>1.0189999999999999</v>
      </c>
      <c r="O9" s="13">
        <v>0</v>
      </c>
      <c r="P9" s="13">
        <v>0.20899999999999999</v>
      </c>
    </row>
    <row r="10" spans="1:16" ht="20.149999999999999" customHeight="1" x14ac:dyDescent="0.3">
      <c r="A10" s="5">
        <f t="shared" si="1"/>
        <v>1.6</v>
      </c>
      <c r="B10" s="13">
        <v>0.26400000000000001</v>
      </c>
      <c r="C10" s="13">
        <v>0.41899999999999998</v>
      </c>
      <c r="D10" s="13">
        <v>0.86599999999999999</v>
      </c>
      <c r="E10" s="13">
        <v>1.7390000000000001</v>
      </c>
      <c r="F10" s="14">
        <v>1.2390000000000001</v>
      </c>
      <c r="G10" s="13">
        <v>2.5390000000000001</v>
      </c>
      <c r="H10" s="13">
        <v>0.26600000000000001</v>
      </c>
      <c r="I10" s="15">
        <v>0.34100000000000003</v>
      </c>
      <c r="J10" s="13">
        <v>0.70399999999999996</v>
      </c>
      <c r="K10" s="13">
        <v>1.6859999999999999</v>
      </c>
      <c r="L10" s="14">
        <v>2.6419999999999999</v>
      </c>
      <c r="M10" s="13">
        <v>1.5129999999999999</v>
      </c>
      <c r="N10" s="13">
        <v>0.96599999999999997</v>
      </c>
      <c r="O10" s="13">
        <v>0.42599999999999999</v>
      </c>
      <c r="P10" s="13">
        <v>0.20699999999999999</v>
      </c>
    </row>
    <row r="11" spans="1:16" ht="20.149999999999999" customHeight="1" x14ac:dyDescent="0.3">
      <c r="A11" s="5">
        <f t="shared" si="1"/>
        <v>1.2000000000000002</v>
      </c>
      <c r="B11" s="14">
        <v>0.41199999999999998</v>
      </c>
      <c r="C11" s="14">
        <v>0.30499999999999999</v>
      </c>
      <c r="D11" s="14">
        <v>0.91100000000000003</v>
      </c>
      <c r="E11" s="14">
        <v>3.0979999999999999</v>
      </c>
      <c r="F11" s="14">
        <v>1.458</v>
      </c>
      <c r="G11" s="14">
        <v>3.3889999999999998</v>
      </c>
      <c r="H11" s="14">
        <v>0.377</v>
      </c>
      <c r="I11" s="14">
        <v>0.42299999999999999</v>
      </c>
      <c r="J11" s="14">
        <v>0.433</v>
      </c>
      <c r="K11" s="14">
        <v>1.1830000000000001</v>
      </c>
      <c r="L11" s="14">
        <v>1.2549999999999999</v>
      </c>
      <c r="M11" s="14">
        <v>3.7149999999999999</v>
      </c>
      <c r="N11" s="14">
        <v>0.86799999999999999</v>
      </c>
      <c r="O11" s="14">
        <v>0.72599999999999998</v>
      </c>
      <c r="P11" s="14">
        <v>0.35599999999999998</v>
      </c>
    </row>
    <row r="12" spans="1:16" ht="20.149999999999999" customHeight="1" x14ac:dyDescent="0.3">
      <c r="A12" s="5">
        <f t="shared" si="1"/>
        <v>0.80000000000000016</v>
      </c>
      <c r="B12" s="13">
        <v>5.8000000000000003E-2</v>
      </c>
      <c r="C12" s="13">
        <v>0.53200000000000003</v>
      </c>
      <c r="D12" s="13">
        <v>0.50800000000000001</v>
      </c>
      <c r="E12" s="13">
        <v>1.147</v>
      </c>
      <c r="F12" s="14">
        <v>2.3050000000000002</v>
      </c>
      <c r="G12" s="13">
        <v>2.9079999999999999</v>
      </c>
      <c r="H12" s="13">
        <v>0.107</v>
      </c>
      <c r="I12" s="15">
        <v>0.41899999999999998</v>
      </c>
      <c r="J12" s="13">
        <v>0.254</v>
      </c>
      <c r="K12" s="13">
        <v>2.8540000000000001</v>
      </c>
      <c r="L12" s="14">
        <v>2.734</v>
      </c>
      <c r="M12" s="13">
        <v>1.252</v>
      </c>
      <c r="N12" s="13">
        <v>0.67400000000000004</v>
      </c>
      <c r="O12" s="13">
        <v>0.22600000000000001</v>
      </c>
      <c r="P12" s="13">
        <v>0.54800000000000004</v>
      </c>
    </row>
    <row r="13" spans="1:16" ht="20.149999999999999" customHeight="1" x14ac:dyDescent="0.3">
      <c r="A13" s="5">
        <f t="shared" si="1"/>
        <v>0.40000000000000013</v>
      </c>
      <c r="B13" s="13">
        <v>0</v>
      </c>
      <c r="C13" s="13">
        <v>5.3999999999999999E-2</v>
      </c>
      <c r="D13" s="13">
        <v>0.51500000000000001</v>
      </c>
      <c r="E13" s="13">
        <v>0.72899999999999998</v>
      </c>
      <c r="F13" s="14">
        <v>0.92600000000000005</v>
      </c>
      <c r="G13" s="13">
        <v>5.8000000000000003E-2</v>
      </c>
      <c r="H13" s="13">
        <v>0</v>
      </c>
      <c r="I13" s="15">
        <v>7.1999999999999995E-2</v>
      </c>
      <c r="J13" s="13">
        <v>0</v>
      </c>
      <c r="K13" s="13">
        <v>0</v>
      </c>
      <c r="L13" s="14">
        <v>0.128</v>
      </c>
      <c r="M13" s="13">
        <v>0.503</v>
      </c>
      <c r="N13" s="13">
        <v>0.72</v>
      </c>
      <c r="O13" s="13">
        <v>0.22500000000000001</v>
      </c>
      <c r="P13" s="13">
        <v>0.32</v>
      </c>
    </row>
    <row r="14" spans="1:16" ht="20.149999999999999" customHeight="1" x14ac:dyDescent="0.3">
      <c r="A14" s="5">
        <f t="shared" si="1"/>
        <v>0</v>
      </c>
      <c r="B14" s="13">
        <v>6.7000000000000004E-2</v>
      </c>
      <c r="C14" s="13">
        <v>0</v>
      </c>
      <c r="D14" s="13">
        <v>0.57099999999999995</v>
      </c>
      <c r="E14" s="13">
        <v>0.67200000000000004</v>
      </c>
      <c r="F14" s="14">
        <v>0.61599999999999999</v>
      </c>
      <c r="G14" s="13">
        <v>0</v>
      </c>
      <c r="H14" s="13">
        <v>0</v>
      </c>
      <c r="I14" s="15">
        <v>5.6000000000000001E-2</v>
      </c>
      <c r="J14" s="13">
        <v>0</v>
      </c>
      <c r="K14" s="13">
        <v>0</v>
      </c>
      <c r="L14" s="14">
        <v>0</v>
      </c>
      <c r="M14" s="13">
        <v>0.45200000000000001</v>
      </c>
      <c r="N14" s="13">
        <v>0.34200000000000003</v>
      </c>
      <c r="O14" s="13">
        <v>0.13400000000000001</v>
      </c>
      <c r="P14" s="13">
        <v>0.02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40B9-B6D5-40C4-A92F-4BCADD532F9B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8">
        <v>3.4</v>
      </c>
      <c r="B2" s="18">
        <v>3.6</v>
      </c>
      <c r="C2" s="11">
        <v>1</v>
      </c>
      <c r="D2" s="12">
        <v>1.929</v>
      </c>
      <c r="E2" s="17">
        <f>AVERAGE(D2:D16)</f>
        <v>2.1215999999999999</v>
      </c>
      <c r="F2" s="17">
        <f>_xlfn.VAR.S(D2:D16)</f>
        <v>0.30737954285714253</v>
      </c>
      <c r="H2" s="18">
        <v>5</v>
      </c>
      <c r="I2" s="18">
        <v>1.2</v>
      </c>
      <c r="J2" s="11">
        <v>1</v>
      </c>
      <c r="K2" s="12">
        <v>1.3919999999999999</v>
      </c>
      <c r="L2" s="17">
        <f>AVERAGE(K2:K16)</f>
        <v>1.1834000000000002</v>
      </c>
      <c r="M2" s="17">
        <f>_xlfn.VAR.S(K2:K16)</f>
        <v>5.7851542857142037E-2</v>
      </c>
      <c r="O2" s="18">
        <v>4.5999999999999996</v>
      </c>
      <c r="P2" s="18">
        <v>3.2</v>
      </c>
      <c r="Q2" s="11">
        <v>1</v>
      </c>
      <c r="R2" s="12">
        <v>0.96899999999999997</v>
      </c>
      <c r="S2" s="17">
        <f>AVERAGE(R2:R16)</f>
        <v>1.4134666666666666</v>
      </c>
      <c r="T2" s="17">
        <f>_xlfn.VAR.S(R2:R16)</f>
        <v>0.20191355238095302</v>
      </c>
    </row>
    <row r="3" spans="1:20" ht="15" customHeight="1" x14ac:dyDescent="0.3">
      <c r="A3" s="18"/>
      <c r="B3" s="18"/>
      <c r="C3" s="11">
        <v>2</v>
      </c>
      <c r="D3" s="12">
        <v>2.25</v>
      </c>
      <c r="E3" s="17"/>
      <c r="F3" s="17"/>
      <c r="H3" s="18"/>
      <c r="I3" s="18"/>
      <c r="J3" s="11">
        <v>2</v>
      </c>
      <c r="K3" s="12">
        <v>0.874</v>
      </c>
      <c r="L3" s="17"/>
      <c r="M3" s="17"/>
      <c r="O3" s="18"/>
      <c r="P3" s="18"/>
      <c r="Q3" s="11">
        <v>2</v>
      </c>
      <c r="R3" s="12">
        <v>0.85099999999999998</v>
      </c>
      <c r="S3" s="17"/>
      <c r="T3" s="17"/>
    </row>
    <row r="4" spans="1:20" ht="15" customHeight="1" x14ac:dyDescent="0.3">
      <c r="A4" s="18"/>
      <c r="B4" s="18"/>
      <c r="C4" s="11">
        <v>3</v>
      </c>
      <c r="D4" s="12">
        <v>2.794</v>
      </c>
      <c r="E4" s="17"/>
      <c r="F4" s="17"/>
      <c r="H4" s="18"/>
      <c r="I4" s="18"/>
      <c r="J4" s="11">
        <v>3</v>
      </c>
      <c r="K4" s="12">
        <v>1.6950000000000001</v>
      </c>
      <c r="L4" s="17"/>
      <c r="M4" s="17"/>
      <c r="O4" s="18"/>
      <c r="P4" s="18"/>
      <c r="Q4" s="11">
        <v>3</v>
      </c>
      <c r="R4" s="12">
        <v>0.83299999999999996</v>
      </c>
      <c r="S4" s="17"/>
      <c r="T4" s="17"/>
    </row>
    <row r="5" spans="1:20" ht="15" customHeight="1" x14ac:dyDescent="0.3">
      <c r="A5" s="18"/>
      <c r="B5" s="18"/>
      <c r="C5" s="11">
        <v>4</v>
      </c>
      <c r="D5" s="12">
        <v>2.9889999999999999</v>
      </c>
      <c r="E5" s="17"/>
      <c r="F5" s="17"/>
      <c r="H5" s="18"/>
      <c r="I5" s="18"/>
      <c r="J5" s="11">
        <v>4</v>
      </c>
      <c r="K5" s="12">
        <v>0.96599999999999997</v>
      </c>
      <c r="L5" s="17"/>
      <c r="M5" s="17"/>
      <c r="O5" s="18"/>
      <c r="P5" s="18"/>
      <c r="Q5" s="11">
        <v>4</v>
      </c>
      <c r="R5" s="12">
        <v>1.3660000000000001</v>
      </c>
      <c r="S5" s="17"/>
      <c r="T5" s="17"/>
    </row>
    <row r="6" spans="1:20" ht="15" customHeight="1" x14ac:dyDescent="0.3">
      <c r="A6" s="18"/>
      <c r="B6" s="18"/>
      <c r="C6" s="11">
        <v>5</v>
      </c>
      <c r="D6" s="12">
        <v>1.891</v>
      </c>
      <c r="E6" s="17"/>
      <c r="F6" s="17"/>
      <c r="H6" s="18"/>
      <c r="I6" s="18"/>
      <c r="J6" s="11">
        <v>5</v>
      </c>
      <c r="K6" s="12">
        <v>1.411</v>
      </c>
      <c r="L6" s="17"/>
      <c r="M6" s="17"/>
      <c r="O6" s="18"/>
      <c r="P6" s="18"/>
      <c r="Q6" s="11">
        <v>5</v>
      </c>
      <c r="R6" s="12">
        <v>1.028</v>
      </c>
      <c r="S6" s="17"/>
      <c r="T6" s="17"/>
    </row>
    <row r="7" spans="1:20" ht="15" customHeight="1" x14ac:dyDescent="0.3">
      <c r="A7" s="18"/>
      <c r="B7" s="18"/>
      <c r="C7" s="11">
        <v>6</v>
      </c>
      <c r="D7" s="12">
        <v>1.6439999999999999</v>
      </c>
      <c r="E7" s="17"/>
      <c r="F7" s="17"/>
      <c r="H7" s="18"/>
      <c r="I7" s="18"/>
      <c r="J7" s="11">
        <v>6</v>
      </c>
      <c r="K7" s="12">
        <v>1.179</v>
      </c>
      <c r="L7" s="17"/>
      <c r="M7" s="17"/>
      <c r="O7" s="18"/>
      <c r="P7" s="18"/>
      <c r="Q7" s="11">
        <v>6</v>
      </c>
      <c r="R7" s="12">
        <v>1.8029999999999999</v>
      </c>
      <c r="S7" s="17"/>
      <c r="T7" s="17"/>
    </row>
    <row r="8" spans="1:20" ht="15" customHeight="1" x14ac:dyDescent="0.3">
      <c r="A8" s="18"/>
      <c r="B8" s="18"/>
      <c r="C8" s="11">
        <v>7</v>
      </c>
      <c r="D8" s="12">
        <v>2.5990000000000002</v>
      </c>
      <c r="E8" s="17"/>
      <c r="F8" s="17"/>
      <c r="H8" s="18"/>
      <c r="I8" s="18"/>
      <c r="J8" s="11">
        <v>7</v>
      </c>
      <c r="K8" s="12">
        <v>0.90600000000000003</v>
      </c>
      <c r="L8" s="17"/>
      <c r="M8" s="17"/>
      <c r="O8" s="18"/>
      <c r="P8" s="18"/>
      <c r="Q8" s="11">
        <v>7</v>
      </c>
      <c r="R8" s="12">
        <v>1.694</v>
      </c>
      <c r="S8" s="17"/>
      <c r="T8" s="17"/>
    </row>
    <row r="9" spans="1:20" ht="15" customHeight="1" x14ac:dyDescent="0.3">
      <c r="A9" s="18"/>
      <c r="B9" s="18"/>
      <c r="C9" s="11">
        <v>8</v>
      </c>
      <c r="D9" s="12">
        <v>2.827</v>
      </c>
      <c r="E9" s="17"/>
      <c r="F9" s="17"/>
      <c r="H9" s="18"/>
      <c r="I9" s="18"/>
      <c r="J9" s="11">
        <v>8</v>
      </c>
      <c r="K9" s="12">
        <v>1.1060000000000001</v>
      </c>
      <c r="L9" s="17"/>
      <c r="M9" s="17"/>
      <c r="O9" s="18"/>
      <c r="P9" s="18"/>
      <c r="Q9" s="11">
        <v>8</v>
      </c>
      <c r="R9" s="12">
        <v>2.1520000000000001</v>
      </c>
      <c r="S9" s="17"/>
      <c r="T9" s="17"/>
    </row>
    <row r="10" spans="1:20" ht="15" customHeight="1" x14ac:dyDescent="0.3">
      <c r="A10" s="18"/>
      <c r="B10" s="18"/>
      <c r="C10" s="11">
        <v>9</v>
      </c>
      <c r="D10" s="12">
        <v>2.6920000000000002</v>
      </c>
      <c r="E10" s="17"/>
      <c r="F10" s="17"/>
      <c r="H10" s="18"/>
      <c r="I10" s="18"/>
      <c r="J10" s="11">
        <v>9</v>
      </c>
      <c r="K10" s="12">
        <v>1.4219999999999999</v>
      </c>
      <c r="L10" s="17"/>
      <c r="M10" s="17"/>
      <c r="O10" s="18"/>
      <c r="P10" s="18"/>
      <c r="Q10" s="11">
        <v>9</v>
      </c>
      <c r="R10" s="12">
        <v>1.885</v>
      </c>
      <c r="S10" s="17"/>
      <c r="T10" s="17"/>
    </row>
    <row r="11" spans="1:20" ht="15" customHeight="1" x14ac:dyDescent="0.3">
      <c r="A11" s="18"/>
      <c r="B11" s="18"/>
      <c r="C11" s="11">
        <v>10</v>
      </c>
      <c r="D11" s="12">
        <v>2.0840000000000001</v>
      </c>
      <c r="E11" s="17"/>
      <c r="F11" s="17"/>
      <c r="H11" s="18"/>
      <c r="I11" s="18"/>
      <c r="J11" s="11">
        <v>10</v>
      </c>
      <c r="K11" s="12">
        <v>1.1619999999999999</v>
      </c>
      <c r="L11" s="17"/>
      <c r="M11" s="17"/>
      <c r="O11" s="18"/>
      <c r="P11" s="18"/>
      <c r="Q11" s="11">
        <v>10</v>
      </c>
      <c r="R11" s="12">
        <v>0.86299999999999999</v>
      </c>
      <c r="S11" s="17"/>
      <c r="T11" s="17"/>
    </row>
    <row r="12" spans="1:20" ht="15" customHeight="1" x14ac:dyDescent="0.3">
      <c r="A12" s="18"/>
      <c r="B12" s="18"/>
      <c r="C12" s="11">
        <v>11</v>
      </c>
      <c r="D12" s="12">
        <v>1.56</v>
      </c>
      <c r="E12" s="17"/>
      <c r="F12" s="17"/>
      <c r="H12" s="18"/>
      <c r="I12" s="18"/>
      <c r="J12" s="11">
        <v>11</v>
      </c>
      <c r="K12" s="12">
        <v>1.35</v>
      </c>
      <c r="L12" s="17"/>
      <c r="M12" s="17"/>
      <c r="O12" s="18"/>
      <c r="P12" s="18"/>
      <c r="Q12" s="11">
        <v>11</v>
      </c>
      <c r="R12" s="12">
        <v>1.0489999999999999</v>
      </c>
      <c r="S12" s="17"/>
      <c r="T12" s="17"/>
    </row>
    <row r="13" spans="1:20" ht="15" customHeight="1" x14ac:dyDescent="0.3">
      <c r="A13" s="18"/>
      <c r="B13" s="18"/>
      <c r="C13" s="11">
        <v>12</v>
      </c>
      <c r="D13" s="12">
        <v>1.355</v>
      </c>
      <c r="E13" s="17"/>
      <c r="F13" s="17"/>
      <c r="H13" s="18"/>
      <c r="I13" s="18"/>
      <c r="J13" s="11">
        <v>12</v>
      </c>
      <c r="K13" s="12">
        <v>1.28</v>
      </c>
      <c r="L13" s="17"/>
      <c r="M13" s="17"/>
      <c r="O13" s="18"/>
      <c r="P13" s="18"/>
      <c r="Q13" s="11">
        <v>12</v>
      </c>
      <c r="R13" s="12">
        <v>1.4059999999999999</v>
      </c>
      <c r="S13" s="17"/>
      <c r="T13" s="17"/>
    </row>
    <row r="14" spans="1:20" ht="15" customHeight="1" x14ac:dyDescent="0.3">
      <c r="A14" s="18"/>
      <c r="B14" s="18"/>
      <c r="C14" s="11">
        <v>13</v>
      </c>
      <c r="D14" s="12">
        <v>1.4359999999999999</v>
      </c>
      <c r="E14" s="17"/>
      <c r="F14" s="17"/>
      <c r="H14" s="18"/>
      <c r="I14" s="18"/>
      <c r="J14" s="11">
        <v>13</v>
      </c>
      <c r="K14" s="12">
        <v>1.1539999999999999</v>
      </c>
      <c r="L14" s="17"/>
      <c r="M14" s="17"/>
      <c r="O14" s="18"/>
      <c r="P14" s="18"/>
      <c r="Q14" s="11">
        <v>13</v>
      </c>
      <c r="R14" s="12">
        <v>1.865</v>
      </c>
      <c r="S14" s="17"/>
      <c r="T14" s="17"/>
    </row>
    <row r="15" spans="1:20" ht="15" customHeight="1" x14ac:dyDescent="0.3">
      <c r="A15" s="18"/>
      <c r="B15" s="18"/>
      <c r="C15" s="11">
        <v>14</v>
      </c>
      <c r="D15" s="12">
        <v>1.5489999999999999</v>
      </c>
      <c r="E15" s="17"/>
      <c r="F15" s="17"/>
      <c r="H15" s="18"/>
      <c r="I15" s="18"/>
      <c r="J15" s="11">
        <v>14</v>
      </c>
      <c r="K15" s="12">
        <v>0.92</v>
      </c>
      <c r="L15" s="17"/>
      <c r="M15" s="17"/>
      <c r="O15" s="18"/>
      <c r="P15" s="18"/>
      <c r="Q15" s="11">
        <v>14</v>
      </c>
      <c r="R15" s="12">
        <v>1.7330000000000001</v>
      </c>
      <c r="S15" s="17"/>
      <c r="T15" s="17"/>
    </row>
    <row r="16" spans="1:20" ht="15" customHeight="1" x14ac:dyDescent="0.3">
      <c r="A16" s="18"/>
      <c r="B16" s="18"/>
      <c r="C16" s="11">
        <v>15</v>
      </c>
      <c r="D16" s="12">
        <v>2.2250000000000001</v>
      </c>
      <c r="E16" s="17"/>
      <c r="F16" s="17"/>
      <c r="H16" s="18"/>
      <c r="I16" s="18"/>
      <c r="J16" s="11">
        <v>15</v>
      </c>
      <c r="K16" s="12">
        <v>0.93400000000000005</v>
      </c>
      <c r="L16" s="17"/>
      <c r="M16" s="17"/>
      <c r="O16" s="18"/>
      <c r="P16" s="18"/>
      <c r="Q16" s="11">
        <v>15</v>
      </c>
      <c r="R16" s="12">
        <v>1.7050000000000001</v>
      </c>
      <c r="S16" s="17"/>
      <c r="T16" s="17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8">
        <v>4.2</v>
      </c>
      <c r="B19" s="18">
        <v>2.4</v>
      </c>
      <c r="C19" s="11">
        <v>1</v>
      </c>
      <c r="D19" s="12">
        <v>0.48699999999999999</v>
      </c>
      <c r="E19" s="17">
        <f>AVERAGE(D19:D33)</f>
        <v>0.61153333333333337</v>
      </c>
      <c r="F19" s="17">
        <f>_xlfn.VAR.S(D19:D33)</f>
        <v>2.6948409523809565E-2</v>
      </c>
      <c r="H19" s="18">
        <v>6.2</v>
      </c>
      <c r="I19" s="18">
        <v>0</v>
      </c>
      <c r="J19" s="11">
        <v>1</v>
      </c>
      <c r="K19" s="12">
        <v>0.28100000000000003</v>
      </c>
      <c r="L19" s="17">
        <f>AVERAGE(K19:K33)</f>
        <v>0.34153333333333336</v>
      </c>
      <c r="M19" s="17">
        <f>_xlfn.VAR.S(K19:K33)</f>
        <v>2.0250838095238071E-2</v>
      </c>
      <c r="O19" s="18">
        <v>0</v>
      </c>
      <c r="P19" s="18">
        <v>4.8</v>
      </c>
      <c r="Q19" s="11">
        <v>1</v>
      </c>
      <c r="R19" s="12">
        <v>0</v>
      </c>
      <c r="S19" s="17">
        <f>AVERAGE(R19:R33)</f>
        <v>0</v>
      </c>
      <c r="T19" s="17">
        <f>_xlfn.VAR.S(R19:R33)</f>
        <v>0</v>
      </c>
    </row>
    <row r="20" spans="1:20" ht="15" customHeight="1" x14ac:dyDescent="0.3">
      <c r="A20" s="18"/>
      <c r="B20" s="18"/>
      <c r="C20" s="11">
        <v>2</v>
      </c>
      <c r="D20" s="12">
        <v>0.46700000000000003</v>
      </c>
      <c r="E20" s="17"/>
      <c r="F20" s="17"/>
      <c r="H20" s="18"/>
      <c r="I20" s="18"/>
      <c r="J20" s="11">
        <v>2</v>
      </c>
      <c r="K20" s="12">
        <v>0.223</v>
      </c>
      <c r="L20" s="17"/>
      <c r="M20" s="17"/>
      <c r="O20" s="18"/>
      <c r="P20" s="18"/>
      <c r="Q20" s="11">
        <v>2</v>
      </c>
      <c r="R20" s="12">
        <v>0</v>
      </c>
      <c r="S20" s="17"/>
      <c r="T20" s="17"/>
    </row>
    <row r="21" spans="1:20" ht="15" customHeight="1" x14ac:dyDescent="0.3">
      <c r="A21" s="18"/>
      <c r="B21" s="18"/>
      <c r="C21" s="11">
        <v>3</v>
      </c>
      <c r="D21" s="12">
        <v>0.753</v>
      </c>
      <c r="E21" s="17"/>
      <c r="F21" s="17"/>
      <c r="H21" s="18"/>
      <c r="I21" s="18"/>
      <c r="J21" s="11">
        <v>3</v>
      </c>
      <c r="K21" s="12">
        <v>0.22600000000000001</v>
      </c>
      <c r="L21" s="17"/>
      <c r="M21" s="17"/>
      <c r="O21" s="18"/>
      <c r="P21" s="18"/>
      <c r="Q21" s="11">
        <v>3</v>
      </c>
      <c r="R21" s="12">
        <v>0</v>
      </c>
      <c r="S21" s="17"/>
      <c r="T21" s="17"/>
    </row>
    <row r="22" spans="1:20" ht="15" customHeight="1" x14ac:dyDescent="0.3">
      <c r="A22" s="18"/>
      <c r="B22" s="18"/>
      <c r="C22" s="11">
        <v>4</v>
      </c>
      <c r="D22" s="12">
        <v>0.59399999999999997</v>
      </c>
      <c r="E22" s="17"/>
      <c r="F22" s="17"/>
      <c r="H22" s="18"/>
      <c r="I22" s="18"/>
      <c r="J22" s="11">
        <v>4</v>
      </c>
      <c r="K22" s="12">
        <v>0.218</v>
      </c>
      <c r="L22" s="17"/>
      <c r="M22" s="17"/>
      <c r="O22" s="18"/>
      <c r="P22" s="18"/>
      <c r="Q22" s="11">
        <v>4</v>
      </c>
      <c r="R22" s="12">
        <v>0</v>
      </c>
      <c r="S22" s="17"/>
      <c r="T22" s="17"/>
    </row>
    <row r="23" spans="1:20" ht="15" customHeight="1" x14ac:dyDescent="0.3">
      <c r="A23" s="18"/>
      <c r="B23" s="18"/>
      <c r="C23" s="11">
        <v>5</v>
      </c>
      <c r="D23" s="12">
        <v>0.48599999999999999</v>
      </c>
      <c r="E23" s="17"/>
      <c r="F23" s="17"/>
      <c r="H23" s="18"/>
      <c r="I23" s="18"/>
      <c r="J23" s="11">
        <v>5</v>
      </c>
      <c r="K23" s="12">
        <v>0.20300000000000001</v>
      </c>
      <c r="L23" s="17"/>
      <c r="M23" s="17"/>
      <c r="O23" s="18"/>
      <c r="P23" s="18"/>
      <c r="Q23" s="11">
        <v>5</v>
      </c>
      <c r="R23" s="12">
        <v>0</v>
      </c>
      <c r="S23" s="17"/>
      <c r="T23" s="17"/>
    </row>
    <row r="24" spans="1:20" ht="15" customHeight="1" x14ac:dyDescent="0.3">
      <c r="A24" s="18"/>
      <c r="B24" s="18"/>
      <c r="C24" s="11">
        <v>6</v>
      </c>
      <c r="D24" s="12">
        <v>0.72099999999999997</v>
      </c>
      <c r="E24" s="17"/>
      <c r="F24" s="17"/>
      <c r="H24" s="18"/>
      <c r="I24" s="18"/>
      <c r="J24" s="11">
        <v>6</v>
      </c>
      <c r="K24" s="12">
        <v>0.47299999999999998</v>
      </c>
      <c r="L24" s="17"/>
      <c r="M24" s="17"/>
      <c r="O24" s="18"/>
      <c r="P24" s="18"/>
      <c r="Q24" s="11">
        <v>6</v>
      </c>
      <c r="R24" s="12">
        <v>0</v>
      </c>
      <c r="S24" s="17"/>
      <c r="T24" s="17"/>
    </row>
    <row r="25" spans="1:20" ht="15" customHeight="1" x14ac:dyDescent="0.3">
      <c r="A25" s="18"/>
      <c r="B25" s="18"/>
      <c r="C25" s="11">
        <v>7</v>
      </c>
      <c r="D25" s="12">
        <v>0.78300000000000003</v>
      </c>
      <c r="E25" s="17"/>
      <c r="F25" s="17"/>
      <c r="H25" s="18"/>
      <c r="I25" s="18"/>
      <c r="J25" s="11">
        <v>7</v>
      </c>
      <c r="K25" s="12">
        <v>0.46200000000000002</v>
      </c>
      <c r="L25" s="17"/>
      <c r="M25" s="17"/>
      <c r="O25" s="18"/>
      <c r="P25" s="18"/>
      <c r="Q25" s="11">
        <v>7</v>
      </c>
      <c r="R25" s="12">
        <v>0</v>
      </c>
      <c r="S25" s="17"/>
      <c r="T25" s="17"/>
    </row>
    <row r="26" spans="1:20" ht="15" customHeight="1" x14ac:dyDescent="0.3">
      <c r="A26" s="18"/>
      <c r="B26" s="18"/>
      <c r="C26" s="11">
        <v>8</v>
      </c>
      <c r="D26" s="12">
        <v>0.42899999999999999</v>
      </c>
      <c r="E26" s="17"/>
      <c r="F26" s="17"/>
      <c r="H26" s="18"/>
      <c r="I26" s="18"/>
      <c r="J26" s="11">
        <v>8</v>
      </c>
      <c r="K26" s="12">
        <v>0.376</v>
      </c>
      <c r="L26" s="17"/>
      <c r="M26" s="17"/>
      <c r="O26" s="18"/>
      <c r="P26" s="18"/>
      <c r="Q26" s="11">
        <v>8</v>
      </c>
      <c r="R26" s="12">
        <v>0</v>
      </c>
      <c r="S26" s="17"/>
      <c r="T26" s="17"/>
    </row>
    <row r="27" spans="1:20" ht="15" customHeight="1" x14ac:dyDescent="0.3">
      <c r="A27" s="18"/>
      <c r="B27" s="18"/>
      <c r="C27" s="11">
        <v>9</v>
      </c>
      <c r="D27" s="12">
        <v>0.34399999999999997</v>
      </c>
      <c r="E27" s="17"/>
      <c r="F27" s="17"/>
      <c r="H27" s="18"/>
      <c r="I27" s="18"/>
      <c r="J27" s="11">
        <v>9</v>
      </c>
      <c r="K27" s="12">
        <v>0.17399999999999999</v>
      </c>
      <c r="L27" s="17"/>
      <c r="M27" s="17"/>
      <c r="O27" s="18"/>
      <c r="P27" s="18"/>
      <c r="Q27" s="11">
        <v>9</v>
      </c>
      <c r="R27" s="12">
        <v>0</v>
      </c>
      <c r="S27" s="17"/>
      <c r="T27" s="17"/>
    </row>
    <row r="28" spans="1:20" ht="15" customHeight="1" x14ac:dyDescent="0.3">
      <c r="A28" s="18"/>
      <c r="B28" s="18"/>
      <c r="C28" s="11">
        <v>10</v>
      </c>
      <c r="D28" s="12">
        <v>0.49199999999999999</v>
      </c>
      <c r="E28" s="17"/>
      <c r="F28" s="17"/>
      <c r="H28" s="18"/>
      <c r="I28" s="18"/>
      <c r="J28" s="11">
        <v>10</v>
      </c>
      <c r="K28" s="12">
        <v>0.64800000000000002</v>
      </c>
      <c r="L28" s="17"/>
      <c r="M28" s="17"/>
      <c r="O28" s="18"/>
      <c r="P28" s="18"/>
      <c r="Q28" s="11">
        <v>10</v>
      </c>
      <c r="R28" s="12">
        <v>0</v>
      </c>
      <c r="S28" s="17"/>
      <c r="T28" s="17"/>
    </row>
    <row r="29" spans="1:20" ht="15" customHeight="1" x14ac:dyDescent="0.3">
      <c r="A29" s="18"/>
      <c r="B29" s="18"/>
      <c r="C29" s="11">
        <v>11</v>
      </c>
      <c r="D29" s="12">
        <v>0.89100000000000001</v>
      </c>
      <c r="E29" s="17"/>
      <c r="F29" s="17"/>
      <c r="H29" s="18"/>
      <c r="I29" s="18"/>
      <c r="J29" s="11">
        <v>11</v>
      </c>
      <c r="K29" s="12">
        <v>0.42</v>
      </c>
      <c r="L29" s="17"/>
      <c r="M29" s="17"/>
      <c r="O29" s="18"/>
      <c r="P29" s="18"/>
      <c r="Q29" s="11">
        <v>11</v>
      </c>
      <c r="R29" s="12">
        <v>0</v>
      </c>
      <c r="S29" s="17"/>
      <c r="T29" s="17"/>
    </row>
    <row r="30" spans="1:20" ht="15" customHeight="1" x14ac:dyDescent="0.3">
      <c r="A30" s="18"/>
      <c r="B30" s="18"/>
      <c r="C30" s="11">
        <v>12</v>
      </c>
      <c r="D30" s="12">
        <v>0.85099999999999998</v>
      </c>
      <c r="E30" s="17"/>
      <c r="F30" s="17"/>
      <c r="H30" s="18"/>
      <c r="I30" s="18"/>
      <c r="J30" s="11">
        <v>12</v>
      </c>
      <c r="K30" s="12">
        <v>0.19700000000000001</v>
      </c>
      <c r="L30" s="17"/>
      <c r="M30" s="17"/>
      <c r="O30" s="18"/>
      <c r="P30" s="18"/>
      <c r="Q30" s="11">
        <v>12</v>
      </c>
      <c r="R30" s="12">
        <v>0</v>
      </c>
      <c r="S30" s="17"/>
      <c r="T30" s="17"/>
    </row>
    <row r="31" spans="1:20" ht="15" customHeight="1" x14ac:dyDescent="0.3">
      <c r="A31" s="18"/>
      <c r="B31" s="18"/>
      <c r="C31" s="11">
        <v>13</v>
      </c>
      <c r="D31" s="12">
        <v>0.55800000000000005</v>
      </c>
      <c r="E31" s="17"/>
      <c r="F31" s="17"/>
      <c r="H31" s="18"/>
      <c r="I31" s="18"/>
      <c r="J31" s="11">
        <v>13</v>
      </c>
      <c r="K31" s="12">
        <v>0.28899999999999998</v>
      </c>
      <c r="L31" s="17"/>
      <c r="M31" s="17"/>
      <c r="O31" s="18"/>
      <c r="P31" s="18"/>
      <c r="Q31" s="11">
        <v>13</v>
      </c>
      <c r="R31" s="12">
        <v>0</v>
      </c>
      <c r="S31" s="17"/>
      <c r="T31" s="17"/>
    </row>
    <row r="32" spans="1:20" ht="15" customHeight="1" x14ac:dyDescent="0.3">
      <c r="A32" s="18"/>
      <c r="B32" s="18"/>
      <c r="C32" s="11">
        <v>14</v>
      </c>
      <c r="D32" s="12">
        <v>0.63100000000000001</v>
      </c>
      <c r="E32" s="17"/>
      <c r="F32" s="17"/>
      <c r="H32" s="18"/>
      <c r="I32" s="18"/>
      <c r="J32" s="11">
        <v>14</v>
      </c>
      <c r="K32" s="12">
        <v>0.498</v>
      </c>
      <c r="L32" s="17"/>
      <c r="M32" s="17"/>
      <c r="O32" s="18"/>
      <c r="P32" s="18"/>
      <c r="Q32" s="11">
        <v>14</v>
      </c>
      <c r="R32" s="12">
        <v>0</v>
      </c>
      <c r="S32" s="17"/>
      <c r="T32" s="17"/>
    </row>
    <row r="33" spans="1:20" ht="15" customHeight="1" x14ac:dyDescent="0.3">
      <c r="A33" s="18"/>
      <c r="B33" s="18"/>
      <c r="C33" s="11">
        <v>15</v>
      </c>
      <c r="D33" s="12">
        <v>0.68600000000000005</v>
      </c>
      <c r="E33" s="17"/>
      <c r="F33" s="17"/>
      <c r="H33" s="18"/>
      <c r="I33" s="18"/>
      <c r="J33" s="11">
        <v>15</v>
      </c>
      <c r="K33" s="12">
        <v>0.435</v>
      </c>
      <c r="L33" s="17"/>
      <c r="M33" s="17"/>
      <c r="O33" s="18"/>
      <c r="P33" s="18"/>
      <c r="Q33" s="11">
        <v>15</v>
      </c>
      <c r="R33" s="12">
        <v>0</v>
      </c>
      <c r="S33" s="17"/>
      <c r="T33" s="17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39CB-CD1C-4119-B66A-FE820E127593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3.1E-2</v>
      </c>
      <c r="C2" s="13">
        <v>2.7E-2</v>
      </c>
      <c r="D2" s="13">
        <v>0.64300000000000002</v>
      </c>
      <c r="E2" s="13">
        <v>0.98399999999999999</v>
      </c>
      <c r="F2" s="14">
        <v>0.59399999999999997</v>
      </c>
      <c r="G2" s="13">
        <v>0.152</v>
      </c>
      <c r="H2" s="13">
        <v>0.53600000000000003</v>
      </c>
      <c r="I2" s="15">
        <v>0.47</v>
      </c>
      <c r="J2" s="13">
        <v>0.29299999999999998</v>
      </c>
      <c r="K2" s="13">
        <v>0.25800000000000001</v>
      </c>
      <c r="L2" s="14">
        <v>0.373</v>
      </c>
      <c r="M2" s="13">
        <v>0.52700000000000002</v>
      </c>
      <c r="N2" s="13">
        <v>0.20699999999999999</v>
      </c>
      <c r="O2" s="13">
        <v>1.4999999999999999E-2</v>
      </c>
      <c r="P2" s="13">
        <v>0.17699999999999999</v>
      </c>
    </row>
    <row r="3" spans="1:16" ht="20.149999999999999" customHeight="1" x14ac:dyDescent="0.3">
      <c r="A3" s="5">
        <f>A2-0.4</f>
        <v>4.3999999999999995</v>
      </c>
      <c r="B3" s="13">
        <v>0.126</v>
      </c>
      <c r="C3" s="13">
        <v>0.01</v>
      </c>
      <c r="D3" s="13">
        <v>0.48399999999999999</v>
      </c>
      <c r="E3" s="13">
        <v>0.67100000000000004</v>
      </c>
      <c r="F3" s="14">
        <v>1.7609999999999999</v>
      </c>
      <c r="G3" s="13">
        <v>2.9000000000000001E-2</v>
      </c>
      <c r="H3" s="13">
        <v>0.35099999999999998</v>
      </c>
      <c r="I3" s="15">
        <v>0.184</v>
      </c>
      <c r="J3" s="13">
        <v>0.16</v>
      </c>
      <c r="K3" s="13">
        <v>0.47299999999999998</v>
      </c>
      <c r="L3" s="14">
        <v>0.40100000000000002</v>
      </c>
      <c r="M3" s="13">
        <v>0.39</v>
      </c>
      <c r="N3" s="13">
        <v>0.28699999999999998</v>
      </c>
      <c r="O3" s="13">
        <v>8.4000000000000005E-2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0.191</v>
      </c>
      <c r="C4" s="13">
        <v>2E-3</v>
      </c>
      <c r="D4" s="13">
        <v>0.29399999999999998</v>
      </c>
      <c r="E4" s="13">
        <v>3.71</v>
      </c>
      <c r="F4" s="14">
        <v>1.554</v>
      </c>
      <c r="G4" s="13">
        <v>2.7890000000000001</v>
      </c>
      <c r="H4" s="13">
        <v>0.64900000000000002</v>
      </c>
      <c r="I4" s="15">
        <v>0.61109999999999998</v>
      </c>
      <c r="J4" s="13">
        <v>0.81299999999999994</v>
      </c>
      <c r="K4" s="13">
        <v>4.4859999999999998</v>
      </c>
      <c r="L4" s="14">
        <v>2.1819999999999999</v>
      </c>
      <c r="M4" s="13">
        <v>3.4020000000000001</v>
      </c>
      <c r="N4" s="13">
        <v>0.25600000000000001</v>
      </c>
      <c r="O4" s="13">
        <v>0</v>
      </c>
      <c r="P4" s="13">
        <v>0.13800000000000001</v>
      </c>
    </row>
    <row r="5" spans="1:16" ht="20.149999999999999" customHeight="1" x14ac:dyDescent="0.3">
      <c r="A5" s="5">
        <f t="shared" si="1"/>
        <v>3.5999999999999996</v>
      </c>
      <c r="B5" s="14">
        <v>0</v>
      </c>
      <c r="C5" s="14">
        <v>0</v>
      </c>
      <c r="D5" s="14">
        <v>0.39400000000000002</v>
      </c>
      <c r="E5" s="14">
        <v>2.9969999999999999</v>
      </c>
      <c r="F5" s="14">
        <v>1.498</v>
      </c>
      <c r="G5" s="14">
        <v>1.427</v>
      </c>
      <c r="H5" s="14">
        <v>1.77</v>
      </c>
      <c r="I5" s="14">
        <v>0.67400000000000004</v>
      </c>
      <c r="J5" s="14">
        <v>1.2130000000000001</v>
      </c>
      <c r="K5" s="14">
        <v>1.661</v>
      </c>
      <c r="L5" s="14">
        <v>1.32</v>
      </c>
      <c r="M5" s="14">
        <v>1.288</v>
      </c>
      <c r="N5" s="14">
        <v>0.27400000000000002</v>
      </c>
      <c r="O5" s="14">
        <v>0</v>
      </c>
      <c r="P5" s="14">
        <v>9.4E-2</v>
      </c>
    </row>
    <row r="6" spans="1:16" ht="20.149999999999999" customHeight="1" x14ac:dyDescent="0.3">
      <c r="A6" s="5">
        <f t="shared" si="1"/>
        <v>3.1999999999999997</v>
      </c>
      <c r="B6" s="13">
        <v>0</v>
      </c>
      <c r="C6" s="13">
        <v>0</v>
      </c>
      <c r="D6" s="13">
        <v>0.50700000000000001</v>
      </c>
      <c r="E6" s="13">
        <v>1.2330000000000001</v>
      </c>
      <c r="F6" s="14">
        <v>1.542</v>
      </c>
      <c r="G6" s="13">
        <v>3.883</v>
      </c>
      <c r="H6" s="13">
        <v>0.54200000000000004</v>
      </c>
      <c r="I6" s="15">
        <v>0.58499999999999996</v>
      </c>
      <c r="J6" s="13">
        <v>0.51400000000000001</v>
      </c>
      <c r="K6" s="13">
        <v>2.6749999999999998</v>
      </c>
      <c r="L6" s="14">
        <v>1.2010000000000001</v>
      </c>
      <c r="M6" s="13">
        <v>3.0259999999999998</v>
      </c>
      <c r="N6" s="13">
        <v>0.72899999999999998</v>
      </c>
      <c r="O6" s="13">
        <v>0.114</v>
      </c>
      <c r="P6" s="13">
        <v>0.109</v>
      </c>
    </row>
    <row r="7" spans="1:16" ht="20.149999999999999" customHeight="1" x14ac:dyDescent="0.3">
      <c r="A7" s="5">
        <f t="shared" si="1"/>
        <v>2.8</v>
      </c>
      <c r="B7" s="13">
        <v>7.6999999999999999E-2</v>
      </c>
      <c r="C7" s="13">
        <v>0</v>
      </c>
      <c r="D7" s="13">
        <v>0.55800000000000005</v>
      </c>
      <c r="E7" s="13">
        <v>0.69499999999999995</v>
      </c>
      <c r="F7" s="14">
        <v>0.81899999999999995</v>
      </c>
      <c r="G7" s="13">
        <v>0.56899999999999995</v>
      </c>
      <c r="H7" s="13">
        <v>0.33600000000000002</v>
      </c>
      <c r="I7" s="15">
        <v>0.41499999999999998</v>
      </c>
      <c r="J7" s="13">
        <v>0.28699999999999998</v>
      </c>
      <c r="K7" s="13">
        <v>0.76500000000000001</v>
      </c>
      <c r="L7" s="14">
        <v>2.14</v>
      </c>
      <c r="M7" s="13">
        <v>0.85599999999999998</v>
      </c>
      <c r="N7" s="13">
        <v>0.88600000000000001</v>
      </c>
      <c r="O7" s="13">
        <v>0.13200000000000001</v>
      </c>
      <c r="P7" s="13">
        <v>0.16900000000000001</v>
      </c>
    </row>
    <row r="8" spans="1:16" ht="20.149999999999999" customHeight="1" x14ac:dyDescent="0.3">
      <c r="A8" s="5">
        <f t="shared" si="1"/>
        <v>2.4</v>
      </c>
      <c r="B8" s="15">
        <v>0</v>
      </c>
      <c r="C8" s="15">
        <v>0.27300000000000002</v>
      </c>
      <c r="D8" s="15">
        <v>0.78100000000000003</v>
      </c>
      <c r="E8" s="15">
        <v>0.81</v>
      </c>
      <c r="F8" s="14">
        <v>1.095</v>
      </c>
      <c r="G8" s="15">
        <v>0.55100000000000005</v>
      </c>
      <c r="H8" s="15">
        <v>0.13600000000000001</v>
      </c>
      <c r="I8" s="15">
        <v>0.39</v>
      </c>
      <c r="J8" s="15">
        <v>0.307</v>
      </c>
      <c r="K8" s="15">
        <v>0.52200000000000002</v>
      </c>
      <c r="L8" s="14">
        <v>0.98599999999999999</v>
      </c>
      <c r="M8" s="15">
        <v>1.3109999999999999</v>
      </c>
      <c r="N8" s="15">
        <v>0.84099999999999997</v>
      </c>
      <c r="O8" s="15">
        <v>0.35199999999999998</v>
      </c>
      <c r="P8" s="15">
        <v>0.122</v>
      </c>
    </row>
    <row r="9" spans="1:16" ht="20.149999999999999" customHeight="1" x14ac:dyDescent="0.3">
      <c r="A9" s="5">
        <f t="shared" si="1"/>
        <v>2</v>
      </c>
      <c r="B9" s="13">
        <v>0.14699999999999999</v>
      </c>
      <c r="C9" s="13">
        <v>0.33</v>
      </c>
      <c r="D9" s="13">
        <v>0.55800000000000005</v>
      </c>
      <c r="E9" s="13">
        <v>0.71799999999999997</v>
      </c>
      <c r="F9" s="14">
        <v>0.97199999999999998</v>
      </c>
      <c r="G9" s="13">
        <v>0.33400000000000002</v>
      </c>
      <c r="H9" s="13">
        <v>0.27</v>
      </c>
      <c r="I9" s="15">
        <v>0.441</v>
      </c>
      <c r="J9" s="13">
        <v>0.39500000000000002</v>
      </c>
      <c r="K9" s="13">
        <v>0.56499999999999995</v>
      </c>
      <c r="L9" s="14">
        <v>1.399</v>
      </c>
      <c r="M9" s="13">
        <v>1.133</v>
      </c>
      <c r="N9" s="13">
        <v>1.2190000000000001</v>
      </c>
      <c r="O9" s="13">
        <v>0.50800000000000001</v>
      </c>
      <c r="P9" s="13">
        <v>0.505</v>
      </c>
    </row>
    <row r="10" spans="1:16" ht="20.149999999999999" customHeight="1" x14ac:dyDescent="0.3">
      <c r="A10" s="5">
        <f t="shared" si="1"/>
        <v>1.6</v>
      </c>
      <c r="B10" s="13">
        <v>0.24399999999999999</v>
      </c>
      <c r="C10" s="13">
        <v>0.33300000000000002</v>
      </c>
      <c r="D10" s="13">
        <v>0.77900000000000003</v>
      </c>
      <c r="E10" s="13">
        <v>1.8340000000000001</v>
      </c>
      <c r="F10" s="14">
        <v>2.4409999999999998</v>
      </c>
      <c r="G10" s="13">
        <v>3.4380000000000002</v>
      </c>
      <c r="H10" s="13">
        <v>0.48499999999999999</v>
      </c>
      <c r="I10" s="15">
        <v>0.63200000000000001</v>
      </c>
      <c r="J10" s="13">
        <v>0.99199999999999999</v>
      </c>
      <c r="K10" s="13">
        <v>2.5510000000000002</v>
      </c>
      <c r="L10" s="14">
        <v>2.5979999999999999</v>
      </c>
      <c r="M10" s="13">
        <v>3.1819999999999999</v>
      </c>
      <c r="N10" s="13">
        <v>0.69</v>
      </c>
      <c r="O10" s="13">
        <v>0.60499999999999998</v>
      </c>
      <c r="P10" s="13">
        <v>0.41299999999999998</v>
      </c>
    </row>
    <row r="11" spans="1:16" ht="20.149999999999999" customHeight="1" x14ac:dyDescent="0.3">
      <c r="A11" s="5">
        <f t="shared" si="1"/>
        <v>1.2000000000000002</v>
      </c>
      <c r="B11" s="14">
        <v>0.39200000000000002</v>
      </c>
      <c r="C11" s="14">
        <v>0.17199999999999999</v>
      </c>
      <c r="D11" s="14">
        <v>0.67500000000000004</v>
      </c>
      <c r="E11" s="14">
        <v>3.6110000000000002</v>
      </c>
      <c r="F11" s="14">
        <v>1.498</v>
      </c>
      <c r="G11" s="14">
        <v>1.9770000000000001</v>
      </c>
      <c r="H11" s="14">
        <v>0.85199999999999998</v>
      </c>
      <c r="I11" s="14">
        <v>0.87</v>
      </c>
      <c r="J11" s="14">
        <v>1.1100000000000001</v>
      </c>
      <c r="K11" s="14">
        <v>0.41099999999999998</v>
      </c>
      <c r="L11" s="14">
        <v>1.675</v>
      </c>
      <c r="M11" s="14">
        <v>1.117</v>
      </c>
      <c r="N11" s="14">
        <v>0.55900000000000005</v>
      </c>
      <c r="O11" s="14">
        <v>0.57699999999999996</v>
      </c>
      <c r="P11" s="14">
        <v>0.47199999999999998</v>
      </c>
    </row>
    <row r="12" spans="1:16" ht="20.149999999999999" customHeight="1" x14ac:dyDescent="0.3">
      <c r="A12" s="5">
        <f t="shared" si="1"/>
        <v>0.80000000000000016</v>
      </c>
      <c r="B12" s="13">
        <v>0.29399999999999998</v>
      </c>
      <c r="C12" s="13">
        <v>2.3E-2</v>
      </c>
      <c r="D12" s="13">
        <v>0.75800000000000001</v>
      </c>
      <c r="E12" s="13">
        <v>1.01</v>
      </c>
      <c r="F12" s="14">
        <v>2.8340000000000001</v>
      </c>
      <c r="G12" s="13">
        <v>2.3559999999999999</v>
      </c>
      <c r="H12" s="13">
        <v>0.61699999999999999</v>
      </c>
      <c r="I12" s="15">
        <v>0.75700000000000001</v>
      </c>
      <c r="J12" s="13">
        <v>0.26900000000000002</v>
      </c>
      <c r="K12" s="13">
        <v>1.8029999999999999</v>
      </c>
      <c r="L12" s="14">
        <v>3.5089999999999999</v>
      </c>
      <c r="M12" s="13">
        <v>3.8149999999999999</v>
      </c>
      <c r="N12" s="13">
        <v>0.32700000000000001</v>
      </c>
      <c r="O12" s="13">
        <v>0.64100000000000001</v>
      </c>
      <c r="P12" s="13">
        <v>0.55700000000000005</v>
      </c>
    </row>
    <row r="13" spans="1:16" ht="20.149999999999999" customHeight="1" x14ac:dyDescent="0.3">
      <c r="A13" s="5">
        <f t="shared" si="1"/>
        <v>0.40000000000000013</v>
      </c>
      <c r="B13" s="13">
        <v>0.11799999999999999</v>
      </c>
      <c r="C13" s="13">
        <v>0.182</v>
      </c>
      <c r="D13" s="13">
        <v>0.83599999999999997</v>
      </c>
      <c r="E13" s="13">
        <v>0.877</v>
      </c>
      <c r="F13" s="14">
        <v>0.69399999999999995</v>
      </c>
      <c r="G13" s="13">
        <v>0.24399999999999999</v>
      </c>
      <c r="H13" s="13">
        <v>0.21</v>
      </c>
      <c r="I13" s="15">
        <v>0</v>
      </c>
      <c r="J13" s="13">
        <v>0.25700000000000001</v>
      </c>
      <c r="K13" s="13">
        <v>0</v>
      </c>
      <c r="L13" s="14">
        <v>0.53800000000000003</v>
      </c>
      <c r="M13" s="13">
        <v>0.752</v>
      </c>
      <c r="N13" s="13">
        <v>0.435</v>
      </c>
      <c r="O13" s="13">
        <v>0.30499999999999999</v>
      </c>
      <c r="P13" s="13">
        <v>0.43099999999999999</v>
      </c>
    </row>
    <row r="14" spans="1:16" ht="20.149999999999999" customHeight="1" x14ac:dyDescent="0.3">
      <c r="A14" s="5">
        <f t="shared" si="1"/>
        <v>0</v>
      </c>
      <c r="B14" s="13">
        <v>7.2999999999999995E-2</v>
      </c>
      <c r="C14" s="13">
        <v>0.154</v>
      </c>
      <c r="D14" s="13">
        <v>0.42</v>
      </c>
      <c r="E14" s="13">
        <v>0.64800000000000002</v>
      </c>
      <c r="F14" s="14">
        <v>0.41099999999999998</v>
      </c>
      <c r="G14" s="13">
        <v>0</v>
      </c>
      <c r="H14" s="13">
        <v>0</v>
      </c>
      <c r="I14" s="15">
        <v>0</v>
      </c>
      <c r="J14" s="13">
        <v>2.1999999999999999E-2</v>
      </c>
      <c r="K14" s="13">
        <v>0</v>
      </c>
      <c r="L14" s="14">
        <v>0.443</v>
      </c>
      <c r="M14" s="13">
        <v>0.35299999999999998</v>
      </c>
      <c r="N14" s="13">
        <v>0.51400000000000001</v>
      </c>
      <c r="O14" s="13">
        <v>9.9000000000000005E-2</v>
      </c>
      <c r="P14" s="13">
        <v>5.7000000000000002E-2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BB5B-83FA-406B-9A25-221740FD7EB2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8">
        <v>3.4</v>
      </c>
      <c r="B2" s="18">
        <v>3.6</v>
      </c>
      <c r="C2" s="11">
        <v>1</v>
      </c>
      <c r="D2" s="12">
        <v>1.2290000000000001</v>
      </c>
      <c r="E2" s="17">
        <f>AVERAGE(D2:D16)</f>
        <v>1.427</v>
      </c>
      <c r="F2" s="17">
        <f>_xlfn.VAR.S(D2:D16)</f>
        <v>0.10263257142857134</v>
      </c>
      <c r="H2" s="18">
        <v>5</v>
      </c>
      <c r="I2" s="18">
        <v>1.2</v>
      </c>
      <c r="J2" s="11">
        <v>1</v>
      </c>
      <c r="K2" s="12">
        <v>1.3129999999999999</v>
      </c>
      <c r="L2" s="17">
        <f>AVERAGE(K2:K16)</f>
        <v>1.4133333333333331</v>
      </c>
      <c r="M2" s="17">
        <f>_xlfn.VAR.S(K2:K16)</f>
        <v>0.10187795238095301</v>
      </c>
      <c r="O2" s="18">
        <v>4.5999999999999996</v>
      </c>
      <c r="P2" s="18">
        <v>3.2</v>
      </c>
      <c r="Q2" s="11">
        <v>1</v>
      </c>
      <c r="R2" s="12">
        <v>0.376</v>
      </c>
      <c r="S2" s="17">
        <f>AVERAGE(R2:R16)</f>
        <v>0.41053333333333331</v>
      </c>
      <c r="T2" s="17">
        <f>_xlfn.VAR.S(R2:R16)</f>
        <v>3.6708380952381286E-3</v>
      </c>
    </row>
    <row r="3" spans="1:20" ht="15" customHeight="1" x14ac:dyDescent="0.3">
      <c r="A3" s="18"/>
      <c r="B3" s="18"/>
      <c r="C3" s="11">
        <v>2</v>
      </c>
      <c r="D3" s="12">
        <v>1.0580000000000001</v>
      </c>
      <c r="E3" s="17"/>
      <c r="F3" s="17"/>
      <c r="H3" s="18"/>
      <c r="I3" s="18"/>
      <c r="J3" s="11">
        <v>2</v>
      </c>
      <c r="K3" s="12">
        <v>1.3879999999999999</v>
      </c>
      <c r="L3" s="17"/>
      <c r="M3" s="17"/>
      <c r="O3" s="18"/>
      <c r="P3" s="18"/>
      <c r="Q3" s="11">
        <v>2</v>
      </c>
      <c r="R3" s="12">
        <v>0.34799999999999998</v>
      </c>
      <c r="S3" s="17"/>
      <c r="T3" s="17"/>
    </row>
    <row r="4" spans="1:20" ht="15" customHeight="1" x14ac:dyDescent="0.3">
      <c r="A4" s="18"/>
      <c r="B4" s="18"/>
      <c r="C4" s="11">
        <v>3</v>
      </c>
      <c r="D4" s="12">
        <v>1.296</v>
      </c>
      <c r="E4" s="17"/>
      <c r="F4" s="17"/>
      <c r="H4" s="18"/>
      <c r="I4" s="18"/>
      <c r="J4" s="11">
        <v>3</v>
      </c>
      <c r="K4" s="12">
        <v>2.1480000000000001</v>
      </c>
      <c r="L4" s="17"/>
      <c r="M4" s="17"/>
      <c r="O4" s="18"/>
      <c r="P4" s="18"/>
      <c r="Q4" s="11">
        <v>3</v>
      </c>
      <c r="R4" s="12">
        <v>0.34599999999999997</v>
      </c>
      <c r="S4" s="17"/>
      <c r="T4" s="17"/>
    </row>
    <row r="5" spans="1:20" ht="15" customHeight="1" x14ac:dyDescent="0.3">
      <c r="A5" s="18"/>
      <c r="B5" s="18"/>
      <c r="C5" s="11">
        <v>4</v>
      </c>
      <c r="D5" s="12">
        <v>2.0670000000000002</v>
      </c>
      <c r="E5" s="17"/>
      <c r="F5" s="17"/>
      <c r="H5" s="18"/>
      <c r="I5" s="18"/>
      <c r="J5" s="11">
        <v>4</v>
      </c>
      <c r="K5" s="12">
        <v>1.9690000000000001</v>
      </c>
      <c r="L5" s="17"/>
      <c r="M5" s="17"/>
      <c r="O5" s="18"/>
      <c r="P5" s="18"/>
      <c r="Q5" s="11">
        <v>4</v>
      </c>
      <c r="R5" s="12">
        <v>0.40500000000000003</v>
      </c>
      <c r="S5" s="17"/>
      <c r="T5" s="17"/>
    </row>
    <row r="6" spans="1:20" ht="15" customHeight="1" x14ac:dyDescent="0.3">
      <c r="A6" s="18"/>
      <c r="B6" s="18"/>
      <c r="C6" s="11">
        <v>5</v>
      </c>
      <c r="D6" s="12">
        <v>1.3360000000000001</v>
      </c>
      <c r="E6" s="17"/>
      <c r="F6" s="17"/>
      <c r="H6" s="18"/>
      <c r="I6" s="18"/>
      <c r="J6" s="11">
        <v>5</v>
      </c>
      <c r="K6" s="12">
        <v>1.605</v>
      </c>
      <c r="L6" s="17"/>
      <c r="M6" s="17"/>
      <c r="O6" s="18"/>
      <c r="P6" s="18"/>
      <c r="Q6" s="11">
        <v>5</v>
      </c>
      <c r="R6" s="12">
        <v>0.38500000000000001</v>
      </c>
      <c r="S6" s="17"/>
      <c r="T6" s="17"/>
    </row>
    <row r="7" spans="1:20" ht="15" customHeight="1" x14ac:dyDescent="0.3">
      <c r="A7" s="18"/>
      <c r="B7" s="18"/>
      <c r="C7" s="11">
        <v>6</v>
      </c>
      <c r="D7" s="12">
        <v>1.341</v>
      </c>
      <c r="E7" s="17"/>
      <c r="F7" s="17"/>
      <c r="H7" s="18"/>
      <c r="I7" s="18"/>
      <c r="J7" s="11">
        <v>6</v>
      </c>
      <c r="K7" s="12">
        <v>1.3080000000000001</v>
      </c>
      <c r="L7" s="17"/>
      <c r="M7" s="17"/>
      <c r="O7" s="18"/>
      <c r="P7" s="18"/>
      <c r="Q7" s="11">
        <v>6</v>
      </c>
      <c r="R7" s="12">
        <v>0.45800000000000002</v>
      </c>
      <c r="S7" s="17"/>
      <c r="T7" s="17"/>
    </row>
    <row r="8" spans="1:20" ht="15" customHeight="1" x14ac:dyDescent="0.3">
      <c r="A8" s="18"/>
      <c r="B8" s="18"/>
      <c r="C8" s="11">
        <v>7</v>
      </c>
      <c r="D8" s="12">
        <v>1.865</v>
      </c>
      <c r="E8" s="17"/>
      <c r="F8" s="17"/>
      <c r="H8" s="18"/>
      <c r="I8" s="18"/>
      <c r="J8" s="11">
        <v>7</v>
      </c>
      <c r="K8" s="12">
        <v>1.4810000000000001</v>
      </c>
      <c r="L8" s="17"/>
      <c r="M8" s="17"/>
      <c r="O8" s="18"/>
      <c r="P8" s="18"/>
      <c r="Q8" s="11">
        <v>7</v>
      </c>
      <c r="R8" s="12">
        <v>0.36599999999999999</v>
      </c>
      <c r="S8" s="17"/>
      <c r="T8" s="17"/>
    </row>
    <row r="9" spans="1:20" ht="15" customHeight="1" x14ac:dyDescent="0.3">
      <c r="A9" s="18"/>
      <c r="B9" s="18"/>
      <c r="C9" s="11">
        <v>8</v>
      </c>
      <c r="D9" s="12">
        <v>1.879</v>
      </c>
      <c r="E9" s="17"/>
      <c r="F9" s="17"/>
      <c r="H9" s="18"/>
      <c r="I9" s="18"/>
      <c r="J9" s="11">
        <v>8</v>
      </c>
      <c r="K9" s="12">
        <v>1.145</v>
      </c>
      <c r="L9" s="17"/>
      <c r="M9" s="17"/>
      <c r="O9" s="18"/>
      <c r="P9" s="18"/>
      <c r="Q9" s="11">
        <v>8</v>
      </c>
      <c r="R9" s="12">
        <v>0.39800000000000002</v>
      </c>
      <c r="S9" s="17"/>
      <c r="T9" s="17"/>
    </row>
    <row r="10" spans="1:20" ht="15" customHeight="1" x14ac:dyDescent="0.3">
      <c r="A10" s="18"/>
      <c r="B10" s="18"/>
      <c r="C10" s="11">
        <v>9</v>
      </c>
      <c r="D10" s="12">
        <v>1.3520000000000001</v>
      </c>
      <c r="E10" s="17"/>
      <c r="F10" s="17"/>
      <c r="H10" s="18"/>
      <c r="I10" s="18"/>
      <c r="J10" s="11">
        <v>9</v>
      </c>
      <c r="K10" s="12">
        <v>1.47</v>
      </c>
      <c r="L10" s="17"/>
      <c r="M10" s="17"/>
      <c r="O10" s="18"/>
      <c r="P10" s="18"/>
      <c r="Q10" s="11">
        <v>9</v>
      </c>
      <c r="R10" s="12">
        <v>0.41099999999999998</v>
      </c>
      <c r="S10" s="17"/>
      <c r="T10" s="17"/>
    </row>
    <row r="11" spans="1:20" ht="15" customHeight="1" x14ac:dyDescent="0.3">
      <c r="A11" s="18"/>
      <c r="B11" s="18"/>
      <c r="C11" s="11">
        <v>10</v>
      </c>
      <c r="D11" s="12">
        <v>1.669</v>
      </c>
      <c r="E11" s="17"/>
      <c r="F11" s="17"/>
      <c r="H11" s="18"/>
      <c r="I11" s="18"/>
      <c r="J11" s="11">
        <v>10</v>
      </c>
      <c r="K11" s="12">
        <v>1.5820000000000001</v>
      </c>
      <c r="L11" s="17"/>
      <c r="M11" s="17"/>
      <c r="O11" s="18"/>
      <c r="P11" s="18"/>
      <c r="Q11" s="11">
        <v>10</v>
      </c>
      <c r="R11" s="12">
        <v>0.38300000000000001</v>
      </c>
      <c r="S11" s="17"/>
      <c r="T11" s="17"/>
    </row>
    <row r="12" spans="1:20" ht="15" customHeight="1" x14ac:dyDescent="0.3">
      <c r="A12" s="18"/>
      <c r="B12" s="18"/>
      <c r="C12" s="11">
        <v>11</v>
      </c>
      <c r="D12" s="12">
        <v>1.252</v>
      </c>
      <c r="E12" s="17"/>
      <c r="F12" s="17"/>
      <c r="H12" s="18"/>
      <c r="I12" s="18"/>
      <c r="J12" s="11">
        <v>11</v>
      </c>
      <c r="K12" s="12">
        <v>0.96399999999999997</v>
      </c>
      <c r="L12" s="17"/>
      <c r="M12" s="17"/>
      <c r="O12" s="18"/>
      <c r="P12" s="18"/>
      <c r="Q12" s="11">
        <v>11</v>
      </c>
      <c r="R12" s="12">
        <v>0.40300000000000002</v>
      </c>
      <c r="S12" s="17"/>
      <c r="T12" s="17"/>
    </row>
    <row r="13" spans="1:20" ht="15" customHeight="1" x14ac:dyDescent="0.3">
      <c r="A13" s="18"/>
      <c r="B13" s="18"/>
      <c r="C13" s="11">
        <v>12</v>
      </c>
      <c r="D13" s="12">
        <v>1.21</v>
      </c>
      <c r="E13" s="17"/>
      <c r="F13" s="17"/>
      <c r="H13" s="18"/>
      <c r="I13" s="18"/>
      <c r="J13" s="11">
        <v>12</v>
      </c>
      <c r="K13" s="12">
        <v>1.0629999999999999</v>
      </c>
      <c r="L13" s="17"/>
      <c r="M13" s="17"/>
      <c r="O13" s="18"/>
      <c r="P13" s="18"/>
      <c r="Q13" s="11">
        <v>12</v>
      </c>
      <c r="R13" s="12">
        <v>0.53600000000000003</v>
      </c>
      <c r="S13" s="17"/>
      <c r="T13" s="17"/>
    </row>
    <row r="14" spans="1:20" ht="15" customHeight="1" x14ac:dyDescent="0.3">
      <c r="A14" s="18"/>
      <c r="B14" s="18"/>
      <c r="C14" s="11">
        <v>13</v>
      </c>
      <c r="D14" s="12">
        <v>1.052</v>
      </c>
      <c r="E14" s="17"/>
      <c r="F14" s="17"/>
      <c r="H14" s="18"/>
      <c r="I14" s="18"/>
      <c r="J14" s="11">
        <v>13</v>
      </c>
      <c r="K14" s="12">
        <v>1.266</v>
      </c>
      <c r="L14" s="17"/>
      <c r="M14" s="17"/>
      <c r="O14" s="18"/>
      <c r="P14" s="18"/>
      <c r="Q14" s="11">
        <v>13</v>
      </c>
      <c r="R14" s="12">
        <v>0.40899999999999997</v>
      </c>
      <c r="S14" s="17"/>
      <c r="T14" s="17"/>
    </row>
    <row r="15" spans="1:20" ht="15" customHeight="1" x14ac:dyDescent="0.3">
      <c r="A15" s="18"/>
      <c r="B15" s="18"/>
      <c r="C15" s="11">
        <v>14</v>
      </c>
      <c r="D15" s="12">
        <v>1.663</v>
      </c>
      <c r="E15" s="17"/>
      <c r="F15" s="17"/>
      <c r="H15" s="18"/>
      <c r="I15" s="18"/>
      <c r="J15" s="11">
        <v>14</v>
      </c>
      <c r="K15" s="12">
        <v>1.3220000000000001</v>
      </c>
      <c r="L15" s="17"/>
      <c r="M15" s="17"/>
      <c r="O15" s="18"/>
      <c r="P15" s="18"/>
      <c r="Q15" s="11">
        <v>14</v>
      </c>
      <c r="R15" s="12">
        <v>0.55100000000000005</v>
      </c>
      <c r="S15" s="17"/>
      <c r="T15" s="17"/>
    </row>
    <row r="16" spans="1:20" ht="15" customHeight="1" x14ac:dyDescent="0.3">
      <c r="A16" s="18"/>
      <c r="B16" s="18"/>
      <c r="C16" s="11">
        <v>15</v>
      </c>
      <c r="D16" s="12">
        <v>1.1359999999999999</v>
      </c>
      <c r="E16" s="17"/>
      <c r="F16" s="17"/>
      <c r="H16" s="18"/>
      <c r="I16" s="18"/>
      <c r="J16" s="11">
        <v>15</v>
      </c>
      <c r="K16" s="12">
        <v>1.1759999999999999</v>
      </c>
      <c r="L16" s="17"/>
      <c r="M16" s="17"/>
      <c r="O16" s="18"/>
      <c r="P16" s="18"/>
      <c r="Q16" s="11">
        <v>15</v>
      </c>
      <c r="R16" s="12">
        <v>0.38300000000000001</v>
      </c>
      <c r="S16" s="17"/>
      <c r="T16" s="17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8">
        <v>4.2</v>
      </c>
      <c r="B19" s="18">
        <v>2.4</v>
      </c>
      <c r="C19" s="11">
        <v>1</v>
      </c>
      <c r="D19" s="12">
        <v>0.38600000000000001</v>
      </c>
      <c r="E19" s="17">
        <f>AVERAGE(D19:D33)</f>
        <v>0.39039999999999991</v>
      </c>
      <c r="F19" s="17">
        <f>_xlfn.VAR.S(D19:D33)</f>
        <v>2.0861114285714372E-2</v>
      </c>
      <c r="H19" s="18">
        <v>6.2</v>
      </c>
      <c r="I19" s="18">
        <v>0</v>
      </c>
      <c r="J19" s="11">
        <v>1</v>
      </c>
      <c r="K19" s="12">
        <v>0.55400000000000005</v>
      </c>
      <c r="L19" s="17">
        <f>AVERAGE(K19:K33)</f>
        <v>0.5139999999999999</v>
      </c>
      <c r="M19" s="17">
        <f>_xlfn.VAR.S(K19:K33)</f>
        <v>1.5096714285714416E-2</v>
      </c>
      <c r="O19" s="18">
        <v>0</v>
      </c>
      <c r="P19" s="18">
        <v>4.8</v>
      </c>
      <c r="Q19" s="11">
        <v>1</v>
      </c>
      <c r="R19" s="12">
        <v>0</v>
      </c>
      <c r="S19" s="17">
        <f>AVERAGE(R19:R33)</f>
        <v>3.0666666666666668E-2</v>
      </c>
      <c r="T19" s="17">
        <f>_xlfn.VAR.S(R19:R33)</f>
        <v>1.2265238095238095E-3</v>
      </c>
    </row>
    <row r="20" spans="1:20" ht="15" customHeight="1" x14ac:dyDescent="0.3">
      <c r="A20" s="18"/>
      <c r="B20" s="18"/>
      <c r="C20" s="11">
        <v>2</v>
      </c>
      <c r="D20" s="12">
        <v>0.32700000000000001</v>
      </c>
      <c r="E20" s="17"/>
      <c r="F20" s="17"/>
      <c r="H20" s="18"/>
      <c r="I20" s="18"/>
      <c r="J20" s="11">
        <v>2</v>
      </c>
      <c r="K20" s="12">
        <v>0.71299999999999997</v>
      </c>
      <c r="L20" s="17"/>
      <c r="M20" s="17"/>
      <c r="O20" s="18"/>
      <c r="P20" s="18"/>
      <c r="Q20" s="11">
        <v>2</v>
      </c>
      <c r="R20" s="12">
        <v>1.4999999999999999E-2</v>
      </c>
      <c r="S20" s="17"/>
      <c r="T20" s="17"/>
    </row>
    <row r="21" spans="1:20" ht="15" customHeight="1" x14ac:dyDescent="0.3">
      <c r="A21" s="18"/>
      <c r="B21" s="18"/>
      <c r="C21" s="11">
        <v>3</v>
      </c>
      <c r="D21" s="12">
        <v>0.182</v>
      </c>
      <c r="E21" s="17"/>
      <c r="F21" s="17"/>
      <c r="H21" s="18"/>
      <c r="I21" s="18"/>
      <c r="J21" s="11">
        <v>3</v>
      </c>
      <c r="K21" s="12">
        <v>0.38600000000000001</v>
      </c>
      <c r="L21" s="17"/>
      <c r="M21" s="17"/>
      <c r="O21" s="18"/>
      <c r="P21" s="18"/>
      <c r="Q21" s="11">
        <v>3</v>
      </c>
      <c r="R21" s="12">
        <v>7.6999999999999999E-2</v>
      </c>
      <c r="S21" s="17"/>
      <c r="T21" s="17"/>
    </row>
    <row r="22" spans="1:20" ht="15" customHeight="1" x14ac:dyDescent="0.3">
      <c r="A22" s="18"/>
      <c r="B22" s="18"/>
      <c r="C22" s="11">
        <v>4</v>
      </c>
      <c r="D22" s="12">
        <v>0.26200000000000001</v>
      </c>
      <c r="E22" s="17"/>
      <c r="F22" s="17"/>
      <c r="H22" s="18"/>
      <c r="I22" s="18"/>
      <c r="J22" s="11">
        <v>4</v>
      </c>
      <c r="K22" s="12">
        <v>0.40799999999999997</v>
      </c>
      <c r="L22" s="17"/>
      <c r="M22" s="17"/>
      <c r="O22" s="18"/>
      <c r="P22" s="18"/>
      <c r="Q22" s="11">
        <v>4</v>
      </c>
      <c r="R22" s="12">
        <v>0.111</v>
      </c>
      <c r="S22" s="17"/>
      <c r="T22" s="17"/>
    </row>
    <row r="23" spans="1:20" ht="15" customHeight="1" x14ac:dyDescent="0.3">
      <c r="A23" s="18"/>
      <c r="B23" s="18"/>
      <c r="C23" s="11">
        <v>5</v>
      </c>
      <c r="D23" s="12">
        <v>0.34399999999999997</v>
      </c>
      <c r="E23" s="17"/>
      <c r="F23" s="17"/>
      <c r="H23" s="18"/>
      <c r="I23" s="18"/>
      <c r="J23" s="11">
        <v>5</v>
      </c>
      <c r="K23" s="12">
        <v>0.26400000000000001</v>
      </c>
      <c r="L23" s="17"/>
      <c r="M23" s="17"/>
      <c r="O23" s="18"/>
      <c r="P23" s="18"/>
      <c r="Q23" s="11">
        <v>5</v>
      </c>
      <c r="R23" s="12">
        <v>0</v>
      </c>
      <c r="S23" s="17"/>
      <c r="T23" s="17"/>
    </row>
    <row r="24" spans="1:20" ht="15" customHeight="1" x14ac:dyDescent="0.3">
      <c r="A24" s="18"/>
      <c r="B24" s="18"/>
      <c r="C24" s="11">
        <v>6</v>
      </c>
      <c r="D24" s="12">
        <v>0.26700000000000002</v>
      </c>
      <c r="E24" s="17"/>
      <c r="F24" s="17"/>
      <c r="H24" s="18"/>
      <c r="I24" s="18"/>
      <c r="J24" s="11">
        <v>6</v>
      </c>
      <c r="K24" s="12">
        <v>0.32800000000000001</v>
      </c>
      <c r="L24" s="17"/>
      <c r="M24" s="17"/>
      <c r="O24" s="18"/>
      <c r="P24" s="18"/>
      <c r="Q24" s="11">
        <v>6</v>
      </c>
      <c r="R24" s="12">
        <v>0</v>
      </c>
      <c r="S24" s="17"/>
      <c r="T24" s="17"/>
    </row>
    <row r="25" spans="1:20" ht="15" customHeight="1" x14ac:dyDescent="0.3">
      <c r="A25" s="18"/>
      <c r="B25" s="18"/>
      <c r="C25" s="11">
        <v>7</v>
      </c>
      <c r="D25" s="12">
        <v>0.40799999999999997</v>
      </c>
      <c r="E25" s="17"/>
      <c r="F25" s="17"/>
      <c r="H25" s="18"/>
      <c r="I25" s="18"/>
      <c r="J25" s="11">
        <v>7</v>
      </c>
      <c r="K25" s="12">
        <v>0.55400000000000005</v>
      </c>
      <c r="L25" s="17"/>
      <c r="M25" s="17"/>
      <c r="O25" s="18"/>
      <c r="P25" s="18"/>
      <c r="Q25" s="11">
        <v>7</v>
      </c>
      <c r="R25" s="12">
        <v>4.3999999999999997E-2</v>
      </c>
      <c r="S25" s="17"/>
      <c r="T25" s="17"/>
    </row>
    <row r="26" spans="1:20" ht="15" customHeight="1" x14ac:dyDescent="0.3">
      <c r="A26" s="18"/>
      <c r="B26" s="18"/>
      <c r="C26" s="11">
        <v>8</v>
      </c>
      <c r="D26" s="12">
        <v>0.34499999999999997</v>
      </c>
      <c r="E26" s="17"/>
      <c r="F26" s="17"/>
      <c r="H26" s="18"/>
      <c r="I26" s="18"/>
      <c r="J26" s="11">
        <v>8</v>
      </c>
      <c r="K26" s="12">
        <v>0.52100000000000002</v>
      </c>
      <c r="L26" s="17"/>
      <c r="M26" s="17"/>
      <c r="O26" s="18"/>
      <c r="P26" s="18"/>
      <c r="Q26" s="11">
        <v>8</v>
      </c>
      <c r="R26" s="12">
        <v>3.3000000000000002E-2</v>
      </c>
      <c r="S26" s="17"/>
      <c r="T26" s="17"/>
    </row>
    <row r="27" spans="1:20" ht="15" customHeight="1" x14ac:dyDescent="0.3">
      <c r="A27" s="18"/>
      <c r="B27" s="18"/>
      <c r="C27" s="11">
        <v>9</v>
      </c>
      <c r="D27" s="12">
        <v>0.67800000000000005</v>
      </c>
      <c r="E27" s="17"/>
      <c r="F27" s="17"/>
      <c r="H27" s="18"/>
      <c r="I27" s="18"/>
      <c r="J27" s="11">
        <v>9</v>
      </c>
      <c r="K27" s="12">
        <v>0.61399999999999999</v>
      </c>
      <c r="L27" s="17"/>
      <c r="M27" s="17"/>
      <c r="O27" s="18"/>
      <c r="P27" s="18"/>
      <c r="Q27" s="11">
        <v>9</v>
      </c>
      <c r="R27" s="12">
        <v>4.3999999999999997E-2</v>
      </c>
      <c r="S27" s="17"/>
      <c r="T27" s="17"/>
    </row>
    <row r="28" spans="1:20" ht="15" customHeight="1" x14ac:dyDescent="0.3">
      <c r="A28" s="18"/>
      <c r="B28" s="18"/>
      <c r="C28" s="11">
        <v>10</v>
      </c>
      <c r="D28" s="12">
        <v>0.496</v>
      </c>
      <c r="E28" s="17"/>
      <c r="F28" s="17"/>
      <c r="H28" s="18"/>
      <c r="I28" s="18"/>
      <c r="J28" s="11">
        <v>10</v>
      </c>
      <c r="K28" s="12">
        <v>0.54700000000000004</v>
      </c>
      <c r="L28" s="17"/>
      <c r="M28" s="17"/>
      <c r="O28" s="18"/>
      <c r="P28" s="18"/>
      <c r="Q28" s="11">
        <v>10</v>
      </c>
      <c r="R28" s="12">
        <v>0.01</v>
      </c>
      <c r="S28" s="17"/>
      <c r="T28" s="17"/>
    </row>
    <row r="29" spans="1:20" ht="15" customHeight="1" x14ac:dyDescent="0.3">
      <c r="A29" s="18"/>
      <c r="B29" s="18"/>
      <c r="C29" s="11">
        <v>11</v>
      </c>
      <c r="D29" s="12">
        <v>0.52400000000000002</v>
      </c>
      <c r="E29" s="17"/>
      <c r="F29" s="17"/>
      <c r="H29" s="18"/>
      <c r="I29" s="18"/>
      <c r="J29" s="11">
        <v>11</v>
      </c>
      <c r="K29" s="12">
        <v>0.51900000000000002</v>
      </c>
      <c r="L29" s="17"/>
      <c r="M29" s="17"/>
      <c r="O29" s="18"/>
      <c r="P29" s="18"/>
      <c r="Q29" s="11">
        <v>11</v>
      </c>
      <c r="R29" s="12">
        <v>0</v>
      </c>
      <c r="S29" s="17"/>
      <c r="T29" s="17"/>
    </row>
    <row r="30" spans="1:20" ht="15" customHeight="1" x14ac:dyDescent="0.3">
      <c r="A30" s="18"/>
      <c r="B30" s="18"/>
      <c r="C30" s="11">
        <v>12</v>
      </c>
      <c r="D30" s="12">
        <v>0.65700000000000003</v>
      </c>
      <c r="E30" s="17"/>
      <c r="F30" s="17"/>
      <c r="H30" s="18"/>
      <c r="I30" s="18"/>
      <c r="J30" s="11">
        <v>12</v>
      </c>
      <c r="K30" s="12">
        <v>0.51900000000000002</v>
      </c>
      <c r="L30" s="17"/>
      <c r="M30" s="17"/>
      <c r="O30" s="18"/>
      <c r="P30" s="18"/>
      <c r="Q30" s="11">
        <v>12</v>
      </c>
      <c r="R30" s="12">
        <v>2E-3</v>
      </c>
      <c r="S30" s="17"/>
      <c r="T30" s="17"/>
    </row>
    <row r="31" spans="1:20" ht="15" customHeight="1" x14ac:dyDescent="0.3">
      <c r="A31" s="18"/>
      <c r="B31" s="18"/>
      <c r="C31" s="11">
        <v>13</v>
      </c>
      <c r="D31" s="12">
        <v>0.41199999999999998</v>
      </c>
      <c r="E31" s="17"/>
      <c r="F31" s="17"/>
      <c r="H31" s="18"/>
      <c r="I31" s="18"/>
      <c r="J31" s="11">
        <v>13</v>
      </c>
      <c r="K31" s="12">
        <v>0.59599999999999997</v>
      </c>
      <c r="L31" s="17"/>
      <c r="M31" s="17"/>
      <c r="O31" s="18"/>
      <c r="P31" s="18"/>
      <c r="Q31" s="11">
        <v>13</v>
      </c>
      <c r="R31" s="12">
        <v>6.7000000000000004E-2</v>
      </c>
      <c r="S31" s="17"/>
      <c r="T31" s="17"/>
    </row>
    <row r="32" spans="1:20" ht="15" customHeight="1" x14ac:dyDescent="0.3">
      <c r="A32" s="18"/>
      <c r="B32" s="18"/>
      <c r="C32" s="11">
        <v>14</v>
      </c>
      <c r="D32" s="12">
        <v>0.31900000000000001</v>
      </c>
      <c r="E32" s="17"/>
      <c r="F32" s="17"/>
      <c r="H32" s="18"/>
      <c r="I32" s="18"/>
      <c r="J32" s="11">
        <v>14</v>
      </c>
      <c r="K32" s="12">
        <v>0.67500000000000004</v>
      </c>
      <c r="L32" s="17"/>
      <c r="M32" s="17"/>
      <c r="O32" s="18"/>
      <c r="P32" s="18"/>
      <c r="Q32" s="11">
        <v>14</v>
      </c>
      <c r="R32" s="12">
        <v>0</v>
      </c>
      <c r="S32" s="17"/>
      <c r="T32" s="17"/>
    </row>
    <row r="33" spans="1:20" ht="15" customHeight="1" x14ac:dyDescent="0.3">
      <c r="A33" s="18"/>
      <c r="B33" s="18"/>
      <c r="C33" s="11">
        <v>15</v>
      </c>
      <c r="D33" s="12">
        <v>0.249</v>
      </c>
      <c r="E33" s="17"/>
      <c r="F33" s="17"/>
      <c r="H33" s="18"/>
      <c r="I33" s="18"/>
      <c r="J33" s="11">
        <v>15</v>
      </c>
      <c r="K33" s="12">
        <v>0.51200000000000001</v>
      </c>
      <c r="L33" s="17"/>
      <c r="M33" s="17"/>
      <c r="O33" s="18"/>
      <c r="P33" s="18"/>
      <c r="Q33" s="11">
        <v>15</v>
      </c>
      <c r="R33" s="12">
        <v>5.7000000000000002E-2</v>
      </c>
      <c r="S33" s="17"/>
      <c r="T33" s="17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60A5-3FFD-4C42-B2A7-FF7FD5894751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</v>
      </c>
      <c r="C2" s="13">
        <v>0.253</v>
      </c>
      <c r="D2" s="13">
        <v>0.63200000000000001</v>
      </c>
      <c r="E2" s="13">
        <v>0.68100000000000005</v>
      </c>
      <c r="F2" s="14">
        <v>0.66100000000000003</v>
      </c>
      <c r="G2" s="13">
        <v>0.48099999999999998</v>
      </c>
      <c r="H2" s="13">
        <v>0.4</v>
      </c>
      <c r="I2" s="15">
        <v>0.373</v>
      </c>
      <c r="J2" s="13">
        <v>0.38600000000000001</v>
      </c>
      <c r="K2" s="13">
        <v>0.49299999999999999</v>
      </c>
      <c r="L2" s="14">
        <v>0.109</v>
      </c>
      <c r="M2" s="13">
        <v>0.25600000000000001</v>
      </c>
      <c r="N2" s="13">
        <v>0.14399999999999999</v>
      </c>
      <c r="O2" s="13">
        <v>0</v>
      </c>
      <c r="P2" s="13">
        <v>9.2999999999999999E-2</v>
      </c>
    </row>
    <row r="3" spans="1:16" ht="20.149999999999999" customHeight="1" x14ac:dyDescent="0.3">
      <c r="A3" s="5">
        <f>A2-0.4</f>
        <v>4.3999999999999995</v>
      </c>
      <c r="B3" s="13">
        <v>0</v>
      </c>
      <c r="C3" s="13">
        <v>0</v>
      </c>
      <c r="D3" s="13">
        <v>0.314</v>
      </c>
      <c r="E3" s="13">
        <v>0.50700000000000001</v>
      </c>
      <c r="F3" s="14">
        <v>0.82299999999999995</v>
      </c>
      <c r="G3" s="13">
        <v>1.119</v>
      </c>
      <c r="H3" s="13">
        <v>0.628</v>
      </c>
      <c r="I3" s="15">
        <v>0.51700000000000002</v>
      </c>
      <c r="J3" s="13">
        <v>0.25800000000000001</v>
      </c>
      <c r="K3" s="13">
        <v>0.66700000000000004</v>
      </c>
      <c r="L3" s="14">
        <v>0.91300000000000003</v>
      </c>
      <c r="M3" s="13">
        <v>1.2</v>
      </c>
      <c r="N3" s="13">
        <v>0</v>
      </c>
      <c r="O3" s="13">
        <v>0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</v>
      </c>
      <c r="C4" s="13">
        <v>0</v>
      </c>
      <c r="D4" s="13">
        <v>0.23599999999999999</v>
      </c>
      <c r="E4" s="13">
        <v>1.4279999999999999</v>
      </c>
      <c r="F4" s="14">
        <v>2.9540000000000002</v>
      </c>
      <c r="G4" s="13">
        <v>2.9809999999999999</v>
      </c>
      <c r="H4" s="13">
        <v>2.895</v>
      </c>
      <c r="I4" s="15">
        <v>0.78400000000000003</v>
      </c>
      <c r="J4" s="13">
        <v>1.5880000000000001</v>
      </c>
      <c r="K4" s="13">
        <v>2.5379999999999998</v>
      </c>
      <c r="L4" s="14">
        <v>2.1440000000000001</v>
      </c>
      <c r="M4" s="13">
        <v>1.8480000000000001</v>
      </c>
      <c r="N4" s="13">
        <v>0.27600000000000002</v>
      </c>
      <c r="O4" s="13">
        <v>0</v>
      </c>
      <c r="P4" s="13">
        <v>0</v>
      </c>
    </row>
    <row r="5" spans="1:16" ht="20.149999999999999" customHeight="1" x14ac:dyDescent="0.3">
      <c r="A5" s="5">
        <f t="shared" si="1"/>
        <v>3.5999999999999996</v>
      </c>
      <c r="B5" s="14">
        <v>8.4000000000000005E-2</v>
      </c>
      <c r="C5" s="14">
        <v>0</v>
      </c>
      <c r="D5" s="14">
        <v>0.39800000000000002</v>
      </c>
      <c r="E5" s="14">
        <v>2.734</v>
      </c>
      <c r="F5" s="14">
        <v>0.96599999999999997</v>
      </c>
      <c r="G5" s="14">
        <v>1.4550000000000001</v>
      </c>
      <c r="H5" s="14">
        <v>1.252</v>
      </c>
      <c r="I5" s="14">
        <v>0.72699999999999998</v>
      </c>
      <c r="J5" s="14">
        <v>1.726</v>
      </c>
      <c r="K5" s="14">
        <v>1.4630000000000001</v>
      </c>
      <c r="L5" s="14">
        <v>0.90400000000000003</v>
      </c>
      <c r="M5" s="14">
        <v>2.3889999999999998</v>
      </c>
      <c r="N5" s="14">
        <v>0.14299999999999999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0.434</v>
      </c>
      <c r="C6" s="13">
        <v>0</v>
      </c>
      <c r="D6" s="13">
        <v>0.439</v>
      </c>
      <c r="E6" s="13">
        <v>2.0379999999999998</v>
      </c>
      <c r="F6" s="14">
        <v>1.873</v>
      </c>
      <c r="G6" s="13">
        <v>2.14</v>
      </c>
      <c r="H6" s="13">
        <v>2.5049999999999999</v>
      </c>
      <c r="I6" s="15">
        <v>0.63800000000000001</v>
      </c>
      <c r="J6" s="13">
        <v>0.81200000000000006</v>
      </c>
      <c r="K6" s="13">
        <v>1.327</v>
      </c>
      <c r="L6" s="14">
        <v>2.855</v>
      </c>
      <c r="M6" s="13">
        <v>1.1140000000000001</v>
      </c>
      <c r="N6" s="13">
        <v>0.35499999999999998</v>
      </c>
      <c r="O6" s="13">
        <v>0</v>
      </c>
      <c r="P6" s="13">
        <v>0.17499999999999999</v>
      </c>
    </row>
    <row r="7" spans="1:16" ht="20.149999999999999" customHeight="1" x14ac:dyDescent="0.3">
      <c r="A7" s="5">
        <f t="shared" si="1"/>
        <v>2.8</v>
      </c>
      <c r="B7" s="13">
        <v>0.439</v>
      </c>
      <c r="C7" s="13">
        <v>0.20300000000000001</v>
      </c>
      <c r="D7" s="13">
        <v>0.42299999999999999</v>
      </c>
      <c r="E7" s="13">
        <v>0.379</v>
      </c>
      <c r="F7" s="14">
        <v>0.80400000000000005</v>
      </c>
      <c r="G7" s="13">
        <v>0.64900000000000002</v>
      </c>
      <c r="H7" s="13">
        <v>0.86299999999999999</v>
      </c>
      <c r="I7" s="15">
        <v>0.621</v>
      </c>
      <c r="J7" s="13">
        <v>0.499</v>
      </c>
      <c r="K7" s="13">
        <v>0.54400000000000004</v>
      </c>
      <c r="L7" s="14">
        <v>1.448</v>
      </c>
      <c r="M7" s="13">
        <v>0.88800000000000001</v>
      </c>
      <c r="N7" s="13">
        <v>0.503</v>
      </c>
      <c r="O7" s="13">
        <v>0</v>
      </c>
      <c r="P7" s="13">
        <v>5.6000000000000001E-2</v>
      </c>
    </row>
    <row r="8" spans="1:16" ht="20.149999999999999" customHeight="1" x14ac:dyDescent="0.3">
      <c r="A8" s="5">
        <f t="shared" si="1"/>
        <v>2.4</v>
      </c>
      <c r="B8" s="15">
        <v>0.1</v>
      </c>
      <c r="C8" s="15">
        <v>0.27300000000000002</v>
      </c>
      <c r="D8" s="15">
        <v>0.44500000000000001</v>
      </c>
      <c r="E8" s="15">
        <v>0.97899999999999998</v>
      </c>
      <c r="F8" s="14">
        <v>0.65900000000000003</v>
      </c>
      <c r="G8" s="15">
        <v>0.70499999999999996</v>
      </c>
      <c r="H8" s="15">
        <v>0.38800000000000001</v>
      </c>
      <c r="I8" s="15">
        <v>0.36199999999999999</v>
      </c>
      <c r="J8" s="15">
        <v>0.378</v>
      </c>
      <c r="K8" s="15">
        <v>0.47199999999999998</v>
      </c>
      <c r="L8" s="14">
        <v>0.63400000000000001</v>
      </c>
      <c r="M8" s="15">
        <v>0.59699999999999998</v>
      </c>
      <c r="N8" s="15">
        <v>0.72699999999999998</v>
      </c>
      <c r="O8" s="15">
        <v>0.152</v>
      </c>
      <c r="P8" s="15">
        <v>0.125</v>
      </c>
    </row>
    <row r="9" spans="1:16" ht="20.149999999999999" customHeight="1" x14ac:dyDescent="0.3">
      <c r="A9" s="5">
        <f t="shared" si="1"/>
        <v>2</v>
      </c>
      <c r="B9" s="13">
        <v>0.246</v>
      </c>
      <c r="C9" s="13">
        <v>0.18</v>
      </c>
      <c r="D9" s="13">
        <v>0.25900000000000001</v>
      </c>
      <c r="E9" s="13">
        <v>0.60199999999999998</v>
      </c>
      <c r="F9" s="14">
        <v>1.792</v>
      </c>
      <c r="G9" s="13">
        <v>1.8069999999999999</v>
      </c>
      <c r="H9" s="13">
        <v>1.31</v>
      </c>
      <c r="I9" s="15">
        <v>0.47</v>
      </c>
      <c r="J9" s="13">
        <v>0.72599999999999998</v>
      </c>
      <c r="K9" s="13">
        <v>0.64500000000000002</v>
      </c>
      <c r="L9" s="14">
        <v>0.38500000000000001</v>
      </c>
      <c r="M9" s="13">
        <v>0.74399999999999999</v>
      </c>
      <c r="N9" s="13">
        <v>0.64300000000000002</v>
      </c>
      <c r="O9" s="13">
        <v>0.2</v>
      </c>
      <c r="P9" s="13">
        <v>0.56299999999999994</v>
      </c>
    </row>
    <row r="10" spans="1:16" ht="20.149999999999999" customHeight="1" x14ac:dyDescent="0.3">
      <c r="A10" s="5">
        <f t="shared" si="1"/>
        <v>1.6</v>
      </c>
      <c r="B10" s="13">
        <v>0.23899999999999999</v>
      </c>
      <c r="C10" s="13">
        <v>0.48099999999999998</v>
      </c>
      <c r="D10" s="13">
        <v>9.0999999999999998E-2</v>
      </c>
      <c r="E10" s="13">
        <v>2.411</v>
      </c>
      <c r="F10" s="14">
        <v>2.4700000000000002</v>
      </c>
      <c r="G10" s="13">
        <v>2.1349999999999998</v>
      </c>
      <c r="H10" s="13">
        <v>2.5470000000000002</v>
      </c>
      <c r="I10" s="15">
        <v>0.64500000000000002</v>
      </c>
      <c r="J10" s="13">
        <v>1.5369999999999999</v>
      </c>
      <c r="K10" s="13">
        <v>0.998</v>
      </c>
      <c r="L10" s="14">
        <v>1.893</v>
      </c>
      <c r="M10" s="13">
        <v>1.865</v>
      </c>
      <c r="N10" s="13">
        <v>0.626</v>
      </c>
      <c r="O10" s="13">
        <v>0.52700000000000002</v>
      </c>
      <c r="P10" s="13">
        <v>0.38300000000000001</v>
      </c>
    </row>
    <row r="11" spans="1:16" ht="20.149999999999999" customHeight="1" x14ac:dyDescent="0.3">
      <c r="A11" s="5">
        <f t="shared" si="1"/>
        <v>1.2000000000000002</v>
      </c>
      <c r="B11" s="14">
        <v>0.29599999999999999</v>
      </c>
      <c r="C11" s="14">
        <v>0.29299999999999998</v>
      </c>
      <c r="D11" s="14">
        <v>0.45300000000000001</v>
      </c>
      <c r="E11" s="14">
        <v>1.2130000000000001</v>
      </c>
      <c r="F11" s="14">
        <v>0.91200000000000003</v>
      </c>
      <c r="G11" s="14">
        <v>1.254</v>
      </c>
      <c r="H11" s="14">
        <v>1.974</v>
      </c>
      <c r="I11" s="14">
        <v>0.65900000000000003</v>
      </c>
      <c r="J11" s="14">
        <v>2.0710000000000002</v>
      </c>
      <c r="K11" s="14">
        <v>0.88900000000000001</v>
      </c>
      <c r="L11" s="14">
        <v>1.1679999999999999</v>
      </c>
      <c r="M11" s="14">
        <v>2.5049999999999999</v>
      </c>
      <c r="N11" s="14">
        <v>0.58799999999999997</v>
      </c>
      <c r="O11" s="14">
        <v>0.47599999999999998</v>
      </c>
      <c r="P11" s="14">
        <v>0.54500000000000004</v>
      </c>
    </row>
    <row r="12" spans="1:16" ht="20.149999999999999" customHeight="1" x14ac:dyDescent="0.3">
      <c r="A12" s="5">
        <f t="shared" si="1"/>
        <v>0.80000000000000016</v>
      </c>
      <c r="B12" s="13">
        <v>3.2000000000000001E-2</v>
      </c>
      <c r="C12" s="13">
        <v>0.221</v>
      </c>
      <c r="D12" s="13">
        <v>0.65100000000000002</v>
      </c>
      <c r="E12" s="13">
        <v>0.85099999999999998</v>
      </c>
      <c r="F12" s="14">
        <v>1.6419999999999999</v>
      </c>
      <c r="G12" s="13">
        <v>1.5069999999999999</v>
      </c>
      <c r="H12" s="13">
        <v>2.258</v>
      </c>
      <c r="I12" s="15">
        <v>0.60599999999999998</v>
      </c>
      <c r="J12" s="13">
        <v>0.46200000000000002</v>
      </c>
      <c r="K12" s="13">
        <v>1.9690000000000001</v>
      </c>
      <c r="L12" s="14">
        <v>2.3170000000000002</v>
      </c>
      <c r="M12" s="13">
        <v>0.90600000000000003</v>
      </c>
      <c r="N12" s="13">
        <v>0.61</v>
      </c>
      <c r="O12" s="13">
        <v>0.51600000000000001</v>
      </c>
      <c r="P12" s="13">
        <v>0.65700000000000003</v>
      </c>
    </row>
    <row r="13" spans="1:16" ht="20.149999999999999" customHeight="1" x14ac:dyDescent="0.3">
      <c r="A13" s="5">
        <f t="shared" si="1"/>
        <v>0.40000000000000013</v>
      </c>
      <c r="B13" s="13">
        <v>0</v>
      </c>
      <c r="C13" s="13">
        <v>0.129</v>
      </c>
      <c r="D13" s="13">
        <v>0.66100000000000003</v>
      </c>
      <c r="E13" s="13">
        <v>0.33</v>
      </c>
      <c r="F13" s="14">
        <v>0.47599999999999998</v>
      </c>
      <c r="G13" s="13">
        <v>0.46600000000000003</v>
      </c>
      <c r="H13" s="13">
        <v>0.30199999999999999</v>
      </c>
      <c r="I13" s="15">
        <v>0</v>
      </c>
      <c r="J13" s="13">
        <v>0.113</v>
      </c>
      <c r="K13" s="13">
        <v>0.157</v>
      </c>
      <c r="L13" s="14">
        <v>0.52100000000000002</v>
      </c>
      <c r="M13" s="13">
        <v>0.51900000000000002</v>
      </c>
      <c r="N13" s="13">
        <v>0.215</v>
      </c>
      <c r="O13" s="13">
        <v>0.16600000000000001</v>
      </c>
      <c r="P13" s="13">
        <v>0.51800000000000002</v>
      </c>
    </row>
    <row r="14" spans="1:16" ht="20.149999999999999" customHeight="1" x14ac:dyDescent="0.3">
      <c r="A14" s="5">
        <f t="shared" si="1"/>
        <v>0</v>
      </c>
      <c r="B14" s="13">
        <v>1.6E-2</v>
      </c>
      <c r="C14" s="13">
        <v>0</v>
      </c>
      <c r="D14" s="13">
        <v>0.57299999999999995</v>
      </c>
      <c r="E14" s="13">
        <v>0.70199999999999996</v>
      </c>
      <c r="F14" s="14">
        <v>0.53700000000000003</v>
      </c>
      <c r="G14" s="13">
        <v>0.55800000000000005</v>
      </c>
      <c r="H14" s="13">
        <v>0</v>
      </c>
      <c r="I14" s="15">
        <v>0</v>
      </c>
      <c r="J14" s="13">
        <v>0</v>
      </c>
      <c r="K14" s="13">
        <v>0</v>
      </c>
      <c r="L14" s="14">
        <v>0.17100000000000001</v>
      </c>
      <c r="M14" s="13">
        <v>0.09</v>
      </c>
      <c r="N14" s="13">
        <v>0.36099999999999999</v>
      </c>
      <c r="O14" s="13">
        <v>0.123</v>
      </c>
      <c r="P14" s="13">
        <v>0.434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47C1-81CC-4B15-BD88-9F83DE35F2F9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8">
        <v>3.4</v>
      </c>
      <c r="B2" s="18">
        <v>3.6</v>
      </c>
      <c r="C2" s="11">
        <v>1</v>
      </c>
      <c r="D2" s="12">
        <v>1.7450000000000001</v>
      </c>
      <c r="E2" s="17">
        <f>AVERAGE(D2:D16)</f>
        <v>1.4554666666666671</v>
      </c>
      <c r="F2" s="17">
        <f>_xlfn.VAR.S(D2:D16)</f>
        <v>6.7951123809521868E-2</v>
      </c>
      <c r="H2" s="18">
        <v>5</v>
      </c>
      <c r="I2" s="18">
        <v>1.2</v>
      </c>
      <c r="J2" s="11">
        <v>1</v>
      </c>
      <c r="K2" s="12">
        <v>0.77300000000000002</v>
      </c>
      <c r="L2" s="17">
        <f>AVERAGE(K2:K16)</f>
        <v>0.88919999999999999</v>
      </c>
      <c r="M2" s="17">
        <f>_xlfn.VAR.S(K2:K16)</f>
        <v>3.1400028571428935E-2</v>
      </c>
      <c r="O2" s="18">
        <v>4.5999999999999996</v>
      </c>
      <c r="P2" s="18">
        <v>3.2</v>
      </c>
      <c r="Q2" s="11">
        <v>1</v>
      </c>
      <c r="R2" s="12">
        <v>0.85099999999999998</v>
      </c>
      <c r="S2" s="17">
        <f>AVERAGE(R2:R16)</f>
        <v>0.8119333333333334</v>
      </c>
      <c r="T2" s="17">
        <f>_xlfn.VAR.S(R2:R16)</f>
        <v>6.5370209523809439E-2</v>
      </c>
    </row>
    <row r="3" spans="1:20" ht="15" customHeight="1" x14ac:dyDescent="0.3">
      <c r="A3" s="18"/>
      <c r="B3" s="18"/>
      <c r="C3" s="11">
        <v>2</v>
      </c>
      <c r="D3" s="12">
        <v>1.915</v>
      </c>
      <c r="E3" s="17"/>
      <c r="F3" s="17"/>
      <c r="H3" s="18"/>
      <c r="I3" s="18"/>
      <c r="J3" s="11">
        <v>2</v>
      </c>
      <c r="K3" s="12">
        <v>0.97299999999999998</v>
      </c>
      <c r="L3" s="17"/>
      <c r="M3" s="17"/>
      <c r="O3" s="18"/>
      <c r="P3" s="18"/>
      <c r="Q3" s="11">
        <v>2</v>
      </c>
      <c r="R3" s="12">
        <v>0.45800000000000002</v>
      </c>
      <c r="S3" s="17"/>
      <c r="T3" s="17"/>
    </row>
    <row r="4" spans="1:20" ht="15" customHeight="1" x14ac:dyDescent="0.3">
      <c r="A4" s="18"/>
      <c r="B4" s="18"/>
      <c r="C4" s="11">
        <v>3</v>
      </c>
      <c r="D4" s="12">
        <v>1.6259999999999999</v>
      </c>
      <c r="E4" s="17"/>
      <c r="F4" s="17"/>
      <c r="H4" s="18"/>
      <c r="I4" s="18"/>
      <c r="J4" s="11">
        <v>3</v>
      </c>
      <c r="K4" s="12">
        <v>0.97799999999999998</v>
      </c>
      <c r="L4" s="17"/>
      <c r="M4" s="17"/>
      <c r="O4" s="18"/>
      <c r="P4" s="18"/>
      <c r="Q4" s="11">
        <v>3</v>
      </c>
      <c r="R4" s="12">
        <v>0.39700000000000002</v>
      </c>
      <c r="S4" s="17"/>
      <c r="T4" s="17"/>
    </row>
    <row r="5" spans="1:20" ht="15" customHeight="1" x14ac:dyDescent="0.3">
      <c r="A5" s="18"/>
      <c r="B5" s="18"/>
      <c r="C5" s="11">
        <v>4</v>
      </c>
      <c r="D5" s="12">
        <v>1.397</v>
      </c>
      <c r="E5" s="17"/>
      <c r="F5" s="17"/>
      <c r="H5" s="18"/>
      <c r="I5" s="18"/>
      <c r="J5" s="11">
        <v>4</v>
      </c>
      <c r="K5" s="12">
        <v>1.3160000000000001</v>
      </c>
      <c r="L5" s="17"/>
      <c r="M5" s="17"/>
      <c r="O5" s="18"/>
      <c r="P5" s="18"/>
      <c r="Q5" s="11">
        <v>4</v>
      </c>
      <c r="R5" s="12">
        <v>0.55300000000000005</v>
      </c>
      <c r="S5" s="17"/>
      <c r="T5" s="17"/>
    </row>
    <row r="6" spans="1:20" ht="15" customHeight="1" x14ac:dyDescent="0.3">
      <c r="A6" s="18"/>
      <c r="B6" s="18"/>
      <c r="C6" s="11">
        <v>5</v>
      </c>
      <c r="D6" s="12">
        <v>1.756</v>
      </c>
      <c r="E6" s="17"/>
      <c r="F6" s="17"/>
      <c r="H6" s="18"/>
      <c r="I6" s="18"/>
      <c r="J6" s="11">
        <v>5</v>
      </c>
      <c r="K6" s="12">
        <v>1.01</v>
      </c>
      <c r="L6" s="17"/>
      <c r="M6" s="17"/>
      <c r="O6" s="18"/>
      <c r="P6" s="18"/>
      <c r="Q6" s="11">
        <v>5</v>
      </c>
      <c r="R6" s="12">
        <v>0.65700000000000003</v>
      </c>
      <c r="S6" s="17"/>
      <c r="T6" s="17"/>
    </row>
    <row r="7" spans="1:20" ht="15" customHeight="1" x14ac:dyDescent="0.3">
      <c r="A7" s="18"/>
      <c r="B7" s="18"/>
      <c r="C7" s="11">
        <v>6</v>
      </c>
      <c r="D7" s="12">
        <v>1.304</v>
      </c>
      <c r="E7" s="17"/>
      <c r="F7" s="17"/>
      <c r="H7" s="18"/>
      <c r="I7" s="18"/>
      <c r="J7" s="11">
        <v>6</v>
      </c>
      <c r="K7" s="12">
        <v>0.82499999999999996</v>
      </c>
      <c r="L7" s="17"/>
      <c r="M7" s="17"/>
      <c r="O7" s="18"/>
      <c r="P7" s="18"/>
      <c r="Q7" s="11">
        <v>6</v>
      </c>
      <c r="R7" s="12">
        <v>0.83299999999999996</v>
      </c>
      <c r="S7" s="17"/>
      <c r="T7" s="17"/>
    </row>
    <row r="8" spans="1:20" ht="15" customHeight="1" x14ac:dyDescent="0.3">
      <c r="A8" s="18"/>
      <c r="B8" s="18"/>
      <c r="C8" s="11">
        <v>7</v>
      </c>
      <c r="D8" s="12">
        <v>1.425</v>
      </c>
      <c r="E8" s="17"/>
      <c r="F8" s="17"/>
      <c r="H8" s="18"/>
      <c r="I8" s="18"/>
      <c r="J8" s="11">
        <v>7</v>
      </c>
      <c r="K8" s="12">
        <v>0.66</v>
      </c>
      <c r="L8" s="17"/>
      <c r="M8" s="17"/>
      <c r="O8" s="18"/>
      <c r="P8" s="18"/>
      <c r="Q8" s="11">
        <v>7</v>
      </c>
      <c r="R8" s="12">
        <v>0.85199999999999998</v>
      </c>
      <c r="S8" s="17"/>
      <c r="T8" s="17"/>
    </row>
    <row r="9" spans="1:20" ht="15" customHeight="1" x14ac:dyDescent="0.3">
      <c r="A9" s="18"/>
      <c r="B9" s="18"/>
      <c r="C9" s="11">
        <v>8</v>
      </c>
      <c r="D9" s="12">
        <v>1.5229999999999999</v>
      </c>
      <c r="E9" s="17"/>
      <c r="F9" s="17"/>
      <c r="H9" s="18"/>
      <c r="I9" s="18"/>
      <c r="J9" s="11">
        <v>8</v>
      </c>
      <c r="K9" s="12">
        <v>0.75900000000000001</v>
      </c>
      <c r="L9" s="17"/>
      <c r="M9" s="17"/>
      <c r="O9" s="18"/>
      <c r="P9" s="18"/>
      <c r="Q9" s="11">
        <v>8</v>
      </c>
      <c r="R9" s="12">
        <v>1.1779999999999999</v>
      </c>
      <c r="S9" s="17"/>
      <c r="T9" s="17"/>
    </row>
    <row r="10" spans="1:20" ht="15" customHeight="1" x14ac:dyDescent="0.3">
      <c r="A10" s="18"/>
      <c r="B10" s="18"/>
      <c r="C10" s="11">
        <v>9</v>
      </c>
      <c r="D10" s="12">
        <v>1.355</v>
      </c>
      <c r="E10" s="17"/>
      <c r="F10" s="17"/>
      <c r="H10" s="18"/>
      <c r="I10" s="18"/>
      <c r="J10" s="11">
        <v>9</v>
      </c>
      <c r="K10" s="12">
        <v>0.76400000000000001</v>
      </c>
      <c r="L10" s="17"/>
      <c r="M10" s="17"/>
      <c r="O10" s="18"/>
      <c r="P10" s="18"/>
      <c r="Q10" s="11">
        <v>9</v>
      </c>
      <c r="R10" s="12">
        <v>1.01</v>
      </c>
      <c r="S10" s="17"/>
      <c r="T10" s="17"/>
    </row>
    <row r="11" spans="1:20" ht="15" customHeight="1" x14ac:dyDescent="0.3">
      <c r="A11" s="18"/>
      <c r="B11" s="18"/>
      <c r="C11" s="11">
        <v>10</v>
      </c>
      <c r="D11" s="12">
        <v>1.7110000000000001</v>
      </c>
      <c r="E11" s="17"/>
      <c r="F11" s="17"/>
      <c r="H11" s="18"/>
      <c r="I11" s="18"/>
      <c r="J11" s="11">
        <v>10</v>
      </c>
      <c r="K11" s="12">
        <v>0.74199999999999999</v>
      </c>
      <c r="L11" s="17"/>
      <c r="M11" s="17"/>
      <c r="O11" s="18"/>
      <c r="P11" s="18"/>
      <c r="Q11" s="11">
        <v>10</v>
      </c>
      <c r="R11" s="12">
        <v>0.94</v>
      </c>
      <c r="S11" s="17"/>
      <c r="T11" s="17"/>
    </row>
    <row r="12" spans="1:20" ht="15" customHeight="1" x14ac:dyDescent="0.3">
      <c r="A12" s="18"/>
      <c r="B12" s="18"/>
      <c r="C12" s="11">
        <v>11</v>
      </c>
      <c r="D12" s="12">
        <v>1.478</v>
      </c>
      <c r="E12" s="17"/>
      <c r="F12" s="17"/>
      <c r="H12" s="18"/>
      <c r="I12" s="18"/>
      <c r="J12" s="11">
        <v>11</v>
      </c>
      <c r="K12" s="12">
        <v>0.66700000000000004</v>
      </c>
      <c r="L12" s="17"/>
      <c r="M12" s="17"/>
      <c r="O12" s="18"/>
      <c r="P12" s="18"/>
      <c r="Q12" s="11">
        <v>11</v>
      </c>
      <c r="R12" s="12">
        <v>0.98899999999999999</v>
      </c>
      <c r="S12" s="17"/>
      <c r="T12" s="17"/>
    </row>
    <row r="13" spans="1:20" ht="15" customHeight="1" x14ac:dyDescent="0.3">
      <c r="A13" s="18"/>
      <c r="B13" s="18"/>
      <c r="C13" s="11">
        <v>12</v>
      </c>
      <c r="D13" s="12">
        <v>0.96899999999999997</v>
      </c>
      <c r="E13" s="17"/>
      <c r="F13" s="17"/>
      <c r="H13" s="18"/>
      <c r="I13" s="18"/>
      <c r="J13" s="11">
        <v>12</v>
      </c>
      <c r="K13" s="12">
        <v>0.85399999999999998</v>
      </c>
      <c r="L13" s="17"/>
      <c r="M13" s="17"/>
      <c r="O13" s="18"/>
      <c r="P13" s="18"/>
      <c r="Q13" s="11">
        <v>12</v>
      </c>
      <c r="R13" s="12">
        <v>1.327</v>
      </c>
      <c r="S13" s="17"/>
      <c r="T13" s="17"/>
    </row>
    <row r="14" spans="1:20" ht="15" customHeight="1" x14ac:dyDescent="0.3">
      <c r="A14" s="18"/>
      <c r="B14" s="18"/>
      <c r="C14" s="11">
        <v>13</v>
      </c>
      <c r="D14" s="12">
        <v>1.294</v>
      </c>
      <c r="E14" s="17"/>
      <c r="F14" s="17"/>
      <c r="H14" s="18"/>
      <c r="I14" s="18"/>
      <c r="J14" s="11">
        <v>13</v>
      </c>
      <c r="K14" s="12">
        <v>0.94599999999999995</v>
      </c>
      <c r="L14" s="17"/>
      <c r="M14" s="17"/>
      <c r="O14" s="18"/>
      <c r="P14" s="18"/>
      <c r="Q14" s="11">
        <v>13</v>
      </c>
      <c r="R14" s="12">
        <v>0.64600000000000002</v>
      </c>
      <c r="S14" s="17"/>
      <c r="T14" s="17"/>
    </row>
    <row r="15" spans="1:20" ht="15" customHeight="1" x14ac:dyDescent="0.3">
      <c r="A15" s="18"/>
      <c r="B15" s="18"/>
      <c r="C15" s="11">
        <v>14</v>
      </c>
      <c r="D15" s="12">
        <v>1.1639999999999999</v>
      </c>
      <c r="E15" s="17"/>
      <c r="F15" s="17"/>
      <c r="H15" s="18"/>
      <c r="I15" s="18"/>
      <c r="J15" s="11">
        <v>14</v>
      </c>
      <c r="K15" s="12">
        <v>0.97699999999999998</v>
      </c>
      <c r="L15" s="17"/>
      <c r="M15" s="17"/>
      <c r="O15" s="18"/>
      <c r="P15" s="18"/>
      <c r="Q15" s="11">
        <v>14</v>
      </c>
      <c r="R15" s="12">
        <v>0.75</v>
      </c>
      <c r="S15" s="17"/>
      <c r="T15" s="17"/>
    </row>
    <row r="16" spans="1:20" ht="15" customHeight="1" x14ac:dyDescent="0.3">
      <c r="A16" s="18"/>
      <c r="B16" s="18"/>
      <c r="C16" s="11">
        <v>15</v>
      </c>
      <c r="D16" s="12">
        <v>1.17</v>
      </c>
      <c r="E16" s="17"/>
      <c r="F16" s="17"/>
      <c r="H16" s="18"/>
      <c r="I16" s="18"/>
      <c r="J16" s="11">
        <v>15</v>
      </c>
      <c r="K16" s="12">
        <v>1.0940000000000001</v>
      </c>
      <c r="L16" s="17"/>
      <c r="M16" s="17"/>
      <c r="O16" s="18"/>
      <c r="P16" s="18"/>
      <c r="Q16" s="11">
        <v>15</v>
      </c>
      <c r="R16" s="12">
        <v>0.73799999999999999</v>
      </c>
      <c r="S16" s="17"/>
      <c r="T16" s="17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8">
        <v>4.2</v>
      </c>
      <c r="B19" s="18">
        <v>2.4</v>
      </c>
      <c r="C19" s="11">
        <v>1</v>
      </c>
      <c r="D19" s="12">
        <v>0.17499999999999999</v>
      </c>
      <c r="E19" s="17">
        <f>AVERAGE(D19:D33)</f>
        <v>0.36219999999999997</v>
      </c>
      <c r="F19" s="17">
        <f>_xlfn.VAR.S(D19:D33)</f>
        <v>2.5828742857142872E-2</v>
      </c>
      <c r="H19" s="18">
        <v>6.2</v>
      </c>
      <c r="I19" s="18">
        <v>0</v>
      </c>
      <c r="J19" s="11">
        <v>1</v>
      </c>
      <c r="K19" s="12">
        <v>0.48699999999999999</v>
      </c>
      <c r="L19" s="17">
        <f>AVERAGE(K19:K33)</f>
        <v>0.36080000000000001</v>
      </c>
      <c r="M19" s="17">
        <f>_xlfn.VAR.S(K19:K33)</f>
        <v>5.9800285714285573E-3</v>
      </c>
      <c r="O19" s="18">
        <v>0</v>
      </c>
      <c r="P19" s="18">
        <v>4.8</v>
      </c>
      <c r="Q19" s="11">
        <v>1</v>
      </c>
      <c r="R19" s="12">
        <v>0</v>
      </c>
      <c r="S19" s="17">
        <f>AVERAGE(R19:R33)</f>
        <v>0</v>
      </c>
      <c r="T19" s="17">
        <f>_xlfn.VAR.S(R19:R33)</f>
        <v>0</v>
      </c>
    </row>
    <row r="20" spans="1:20" ht="15" customHeight="1" x14ac:dyDescent="0.3">
      <c r="A20" s="18"/>
      <c r="B20" s="18"/>
      <c r="C20" s="11">
        <v>2</v>
      </c>
      <c r="D20" s="12">
        <v>0.42099999999999999</v>
      </c>
      <c r="E20" s="17"/>
      <c r="F20" s="17"/>
      <c r="H20" s="18"/>
      <c r="I20" s="18"/>
      <c r="J20" s="11">
        <v>2</v>
      </c>
      <c r="K20" s="12">
        <v>0.377</v>
      </c>
      <c r="L20" s="17"/>
      <c r="M20" s="17"/>
      <c r="O20" s="18"/>
      <c r="P20" s="18"/>
      <c r="Q20" s="11">
        <v>2</v>
      </c>
      <c r="R20" s="12">
        <v>0</v>
      </c>
      <c r="S20" s="17"/>
      <c r="T20" s="17"/>
    </row>
    <row r="21" spans="1:20" ht="15" customHeight="1" x14ac:dyDescent="0.3">
      <c r="A21" s="18"/>
      <c r="B21" s="18"/>
      <c r="C21" s="11">
        <v>3</v>
      </c>
      <c r="D21" s="12">
        <v>0.34499999999999997</v>
      </c>
      <c r="E21" s="17"/>
      <c r="F21" s="17"/>
      <c r="H21" s="18"/>
      <c r="I21" s="18"/>
      <c r="J21" s="11">
        <v>3</v>
      </c>
      <c r="K21" s="12">
        <v>0.42599999999999999</v>
      </c>
      <c r="L21" s="17"/>
      <c r="M21" s="17"/>
      <c r="O21" s="18"/>
      <c r="P21" s="18"/>
      <c r="Q21" s="11">
        <v>3</v>
      </c>
      <c r="R21" s="12">
        <v>0</v>
      </c>
      <c r="S21" s="17"/>
      <c r="T21" s="17"/>
    </row>
    <row r="22" spans="1:20" ht="15" customHeight="1" x14ac:dyDescent="0.3">
      <c r="A22" s="18"/>
      <c r="B22" s="18"/>
      <c r="C22" s="11">
        <v>4</v>
      </c>
      <c r="D22" s="12">
        <v>0.183</v>
      </c>
      <c r="E22" s="17"/>
      <c r="F22" s="17"/>
      <c r="H22" s="18"/>
      <c r="I22" s="18"/>
      <c r="J22" s="11">
        <v>4</v>
      </c>
      <c r="K22" s="12">
        <v>0.38500000000000001</v>
      </c>
      <c r="L22" s="17"/>
      <c r="M22" s="17"/>
      <c r="O22" s="18"/>
      <c r="P22" s="18"/>
      <c r="Q22" s="11">
        <v>4</v>
      </c>
      <c r="R22" s="12">
        <v>0</v>
      </c>
      <c r="S22" s="17"/>
      <c r="T22" s="17"/>
    </row>
    <row r="23" spans="1:20" ht="15" customHeight="1" x14ac:dyDescent="0.3">
      <c r="A23" s="18"/>
      <c r="B23" s="18"/>
      <c r="C23" s="11">
        <v>5</v>
      </c>
      <c r="D23" s="12">
        <v>0.20899999999999999</v>
      </c>
      <c r="E23" s="17"/>
      <c r="F23" s="17"/>
      <c r="H23" s="18"/>
      <c r="I23" s="18"/>
      <c r="J23" s="11">
        <v>5</v>
      </c>
      <c r="K23" s="12">
        <v>0.35699999999999998</v>
      </c>
      <c r="L23" s="17"/>
      <c r="M23" s="17"/>
      <c r="O23" s="18"/>
      <c r="P23" s="18"/>
      <c r="Q23" s="11">
        <v>5</v>
      </c>
      <c r="R23" s="12">
        <v>0</v>
      </c>
      <c r="S23" s="17"/>
      <c r="T23" s="17"/>
    </row>
    <row r="24" spans="1:20" ht="15" customHeight="1" x14ac:dyDescent="0.3">
      <c r="A24" s="18"/>
      <c r="B24" s="18"/>
      <c r="C24" s="11">
        <v>6</v>
      </c>
      <c r="D24" s="12">
        <v>0.39200000000000002</v>
      </c>
      <c r="E24" s="17"/>
      <c r="F24" s="17"/>
      <c r="H24" s="18"/>
      <c r="I24" s="18"/>
      <c r="J24" s="11">
        <v>6</v>
      </c>
      <c r="K24" s="12">
        <v>0.38900000000000001</v>
      </c>
      <c r="L24" s="17"/>
      <c r="M24" s="17"/>
      <c r="O24" s="18"/>
      <c r="P24" s="18"/>
      <c r="Q24" s="11">
        <v>6</v>
      </c>
      <c r="R24" s="12">
        <v>0</v>
      </c>
      <c r="S24" s="17"/>
      <c r="T24" s="17"/>
    </row>
    <row r="25" spans="1:20" ht="15" customHeight="1" x14ac:dyDescent="0.3">
      <c r="A25" s="18"/>
      <c r="B25" s="18"/>
      <c r="C25" s="11">
        <v>7</v>
      </c>
      <c r="D25" s="12">
        <v>0.182</v>
      </c>
      <c r="E25" s="17"/>
      <c r="F25" s="17"/>
      <c r="H25" s="18"/>
      <c r="I25" s="18"/>
      <c r="J25" s="11">
        <v>7</v>
      </c>
      <c r="K25" s="12">
        <v>0.25900000000000001</v>
      </c>
      <c r="L25" s="17"/>
      <c r="M25" s="17"/>
      <c r="O25" s="18"/>
      <c r="P25" s="18"/>
      <c r="Q25" s="11">
        <v>7</v>
      </c>
      <c r="R25" s="12">
        <v>0</v>
      </c>
      <c r="S25" s="17"/>
      <c r="T25" s="17"/>
    </row>
    <row r="26" spans="1:20" ht="15" customHeight="1" x14ac:dyDescent="0.3">
      <c r="A26" s="18"/>
      <c r="B26" s="18"/>
      <c r="C26" s="11">
        <v>8</v>
      </c>
      <c r="D26" s="12">
        <v>0.438</v>
      </c>
      <c r="E26" s="17"/>
      <c r="F26" s="17"/>
      <c r="H26" s="18"/>
      <c r="I26" s="18"/>
      <c r="J26" s="11">
        <v>8</v>
      </c>
      <c r="K26" s="12">
        <v>0.32700000000000001</v>
      </c>
      <c r="L26" s="17"/>
      <c r="M26" s="17"/>
      <c r="O26" s="18"/>
      <c r="P26" s="18"/>
      <c r="Q26" s="11">
        <v>8</v>
      </c>
      <c r="R26" s="12">
        <v>0</v>
      </c>
      <c r="S26" s="17"/>
      <c r="T26" s="17"/>
    </row>
    <row r="27" spans="1:20" ht="15" customHeight="1" x14ac:dyDescent="0.3">
      <c r="A27" s="18"/>
      <c r="B27" s="18"/>
      <c r="C27" s="11">
        <v>9</v>
      </c>
      <c r="D27" s="12">
        <v>0.2</v>
      </c>
      <c r="E27" s="17"/>
      <c r="F27" s="17"/>
      <c r="H27" s="18"/>
      <c r="I27" s="18"/>
      <c r="J27" s="11">
        <v>9</v>
      </c>
      <c r="K27" s="12">
        <v>0.432</v>
      </c>
      <c r="L27" s="17"/>
      <c r="M27" s="17"/>
      <c r="O27" s="18"/>
      <c r="P27" s="18"/>
      <c r="Q27" s="11">
        <v>9</v>
      </c>
      <c r="R27" s="12">
        <v>0</v>
      </c>
      <c r="S27" s="17"/>
      <c r="T27" s="17"/>
    </row>
    <row r="28" spans="1:20" ht="15" customHeight="1" x14ac:dyDescent="0.3">
      <c r="A28" s="18"/>
      <c r="B28" s="18"/>
      <c r="C28" s="11">
        <v>10</v>
      </c>
      <c r="D28" s="12">
        <v>0.57399999999999995</v>
      </c>
      <c r="E28" s="17"/>
      <c r="F28" s="17"/>
      <c r="H28" s="18"/>
      <c r="I28" s="18"/>
      <c r="J28" s="11">
        <v>10</v>
      </c>
      <c r="K28" s="12">
        <v>0.41499999999999998</v>
      </c>
      <c r="L28" s="17"/>
      <c r="M28" s="17"/>
      <c r="O28" s="18"/>
      <c r="P28" s="18"/>
      <c r="Q28" s="11">
        <v>10</v>
      </c>
      <c r="R28" s="12">
        <v>0</v>
      </c>
      <c r="S28" s="17"/>
      <c r="T28" s="17"/>
    </row>
    <row r="29" spans="1:20" ht="15" customHeight="1" x14ac:dyDescent="0.3">
      <c r="A29" s="18"/>
      <c r="B29" s="18"/>
      <c r="C29" s="11">
        <v>11</v>
      </c>
      <c r="D29" s="12">
        <v>0.58799999999999997</v>
      </c>
      <c r="E29" s="17"/>
      <c r="F29" s="17"/>
      <c r="H29" s="18"/>
      <c r="I29" s="18"/>
      <c r="J29" s="11">
        <v>11</v>
      </c>
      <c r="K29" s="12">
        <v>0.33700000000000002</v>
      </c>
      <c r="L29" s="17"/>
      <c r="M29" s="17"/>
      <c r="O29" s="18"/>
      <c r="P29" s="18"/>
      <c r="Q29" s="11">
        <v>11</v>
      </c>
      <c r="R29" s="12">
        <v>0</v>
      </c>
      <c r="S29" s="17"/>
      <c r="T29" s="17"/>
    </row>
    <row r="30" spans="1:20" ht="15" customHeight="1" x14ac:dyDescent="0.3">
      <c r="A30" s="18"/>
      <c r="B30" s="18"/>
      <c r="C30" s="11">
        <v>12</v>
      </c>
      <c r="D30" s="12">
        <v>0.63400000000000001</v>
      </c>
      <c r="E30" s="17"/>
      <c r="F30" s="17"/>
      <c r="H30" s="18"/>
      <c r="I30" s="18"/>
      <c r="J30" s="11">
        <v>12</v>
      </c>
      <c r="K30" s="12">
        <v>0.216</v>
      </c>
      <c r="L30" s="17"/>
      <c r="M30" s="17"/>
      <c r="O30" s="18"/>
      <c r="P30" s="18"/>
      <c r="Q30" s="11">
        <v>12</v>
      </c>
      <c r="R30" s="12">
        <v>0</v>
      </c>
      <c r="S30" s="17"/>
      <c r="T30" s="17"/>
    </row>
    <row r="31" spans="1:20" ht="15" customHeight="1" x14ac:dyDescent="0.3">
      <c r="A31" s="18"/>
      <c r="B31" s="18"/>
      <c r="C31" s="11">
        <v>13</v>
      </c>
      <c r="D31" s="12">
        <v>0.46200000000000002</v>
      </c>
      <c r="E31" s="17"/>
      <c r="F31" s="17"/>
      <c r="H31" s="18"/>
      <c r="I31" s="18"/>
      <c r="J31" s="11">
        <v>13</v>
      </c>
      <c r="K31" s="12">
        <v>0.43</v>
      </c>
      <c r="L31" s="17"/>
      <c r="M31" s="17"/>
      <c r="O31" s="18"/>
      <c r="P31" s="18"/>
      <c r="Q31" s="11">
        <v>13</v>
      </c>
      <c r="R31" s="12">
        <v>0</v>
      </c>
      <c r="S31" s="17"/>
      <c r="T31" s="17"/>
    </row>
    <row r="32" spans="1:20" ht="15" customHeight="1" x14ac:dyDescent="0.3">
      <c r="A32" s="18"/>
      <c r="B32" s="18"/>
      <c r="C32" s="11">
        <v>14</v>
      </c>
      <c r="D32" s="12">
        <v>0.40899999999999997</v>
      </c>
      <c r="E32" s="17"/>
      <c r="F32" s="17"/>
      <c r="H32" s="18"/>
      <c r="I32" s="18"/>
      <c r="J32" s="11">
        <v>14</v>
      </c>
      <c r="K32" s="12">
        <v>0.23599999999999999</v>
      </c>
      <c r="L32" s="17"/>
      <c r="M32" s="17"/>
      <c r="O32" s="18"/>
      <c r="P32" s="18"/>
      <c r="Q32" s="11">
        <v>14</v>
      </c>
      <c r="R32" s="12">
        <v>0</v>
      </c>
      <c r="S32" s="17"/>
      <c r="T32" s="17"/>
    </row>
    <row r="33" spans="1:20" ht="15" customHeight="1" x14ac:dyDescent="0.3">
      <c r="A33" s="18"/>
      <c r="B33" s="18"/>
      <c r="C33" s="11">
        <v>15</v>
      </c>
      <c r="D33" s="12">
        <v>0.221</v>
      </c>
      <c r="E33" s="17"/>
      <c r="F33" s="17"/>
      <c r="H33" s="18"/>
      <c r="I33" s="18"/>
      <c r="J33" s="11">
        <v>15</v>
      </c>
      <c r="K33" s="12">
        <v>0.33900000000000002</v>
      </c>
      <c r="L33" s="17"/>
      <c r="M33" s="17"/>
      <c r="O33" s="18"/>
      <c r="P33" s="18"/>
      <c r="Q33" s="11">
        <v>15</v>
      </c>
      <c r="R33" s="12">
        <v>0</v>
      </c>
      <c r="S33" s="17"/>
      <c r="T33" s="17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79FC-9B57-4B50-ADF2-36FAC2796256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</v>
      </c>
      <c r="C2" s="13">
        <v>0</v>
      </c>
      <c r="D2" s="13">
        <v>0.52400000000000002</v>
      </c>
      <c r="E2" s="13">
        <v>0.58499999999999996</v>
      </c>
      <c r="F2" s="14">
        <v>0</v>
      </c>
      <c r="G2" s="13">
        <v>0.35099999999999998</v>
      </c>
      <c r="H2" s="13">
        <v>0.313</v>
      </c>
      <c r="I2" s="15">
        <v>0.41199999999999998</v>
      </c>
      <c r="J2" s="13">
        <v>0.42599999999999999</v>
      </c>
      <c r="K2" s="13">
        <v>0.36299999999999999</v>
      </c>
      <c r="L2" s="14">
        <v>0.17599999999999999</v>
      </c>
      <c r="M2" s="13">
        <v>0.26100000000000001</v>
      </c>
      <c r="N2" s="13">
        <v>0.14599999999999999</v>
      </c>
      <c r="O2" s="13">
        <v>0.16600000000000001</v>
      </c>
      <c r="P2" s="13">
        <v>0</v>
      </c>
    </row>
    <row r="3" spans="1:16" ht="20.149999999999999" customHeight="1" x14ac:dyDescent="0.3">
      <c r="A3" s="5">
        <f>A2-0.4</f>
        <v>4.3999999999999995</v>
      </c>
      <c r="B3" s="13">
        <v>0</v>
      </c>
      <c r="C3" s="13">
        <v>0</v>
      </c>
      <c r="D3" s="13">
        <v>0.22900000000000001</v>
      </c>
      <c r="E3" s="13">
        <v>0.307</v>
      </c>
      <c r="F3" s="14">
        <v>1.0209999999999999</v>
      </c>
      <c r="G3" s="13">
        <v>0.56799999999999995</v>
      </c>
      <c r="H3" s="13">
        <v>0.59299999999999997</v>
      </c>
      <c r="I3" s="15">
        <v>0.52700000000000002</v>
      </c>
      <c r="J3" s="13">
        <v>0.97799999999999998</v>
      </c>
      <c r="K3" s="13">
        <v>1.5349999999999999</v>
      </c>
      <c r="L3" s="14">
        <v>0.84599999999999997</v>
      </c>
      <c r="M3" s="13">
        <v>0.39100000000000001</v>
      </c>
      <c r="N3" s="13">
        <v>0.16300000000000001</v>
      </c>
      <c r="O3" s="13">
        <v>0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</v>
      </c>
      <c r="C4" s="13">
        <v>0</v>
      </c>
      <c r="D4" s="13">
        <v>0.317</v>
      </c>
      <c r="E4" s="13">
        <v>1.1819999999999999</v>
      </c>
      <c r="F4" s="14">
        <v>2.5979999999999999</v>
      </c>
      <c r="G4" s="13">
        <v>1.6539999999999999</v>
      </c>
      <c r="H4" s="13">
        <v>0.82499999999999996</v>
      </c>
      <c r="I4" s="15">
        <v>1.161</v>
      </c>
      <c r="J4" s="13">
        <v>1.518</v>
      </c>
      <c r="K4" s="13">
        <v>2.3919999999999999</v>
      </c>
      <c r="L4" s="14">
        <v>1.43</v>
      </c>
      <c r="M4" s="13">
        <v>1.294</v>
      </c>
      <c r="N4" s="13">
        <v>0.80800000000000005</v>
      </c>
      <c r="O4" s="13">
        <v>0</v>
      </c>
      <c r="P4" s="13">
        <v>0.13</v>
      </c>
    </row>
    <row r="5" spans="1:16" ht="20.149999999999999" customHeight="1" x14ac:dyDescent="0.3">
      <c r="A5" s="5">
        <f t="shared" si="1"/>
        <v>3.5999999999999996</v>
      </c>
      <c r="B5" s="14">
        <v>0</v>
      </c>
      <c r="C5" s="14">
        <v>0</v>
      </c>
      <c r="D5" s="14">
        <v>0.67</v>
      </c>
      <c r="E5" s="14">
        <v>1.8620000000000001</v>
      </c>
      <c r="F5" s="14">
        <v>0.85599999999999998</v>
      </c>
      <c r="G5" s="14">
        <v>0.98599999999999999</v>
      </c>
      <c r="H5" s="14">
        <v>1.3660000000000001</v>
      </c>
      <c r="I5" s="14">
        <v>0.84799999999999998</v>
      </c>
      <c r="J5" s="14">
        <v>1.121</v>
      </c>
      <c r="K5" s="14">
        <v>0.71399999999999997</v>
      </c>
      <c r="L5" s="14">
        <v>1.464</v>
      </c>
      <c r="M5" s="14">
        <v>1.0900000000000001</v>
      </c>
      <c r="N5" s="14">
        <v>0.95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0.105</v>
      </c>
      <c r="C6" s="13">
        <v>0</v>
      </c>
      <c r="D6" s="13">
        <v>0.26100000000000001</v>
      </c>
      <c r="E6" s="13">
        <v>1.238</v>
      </c>
      <c r="F6" s="14">
        <v>2.1309999999999998</v>
      </c>
      <c r="G6" s="13">
        <v>1.702</v>
      </c>
      <c r="H6" s="13">
        <v>0.97299999999999998</v>
      </c>
      <c r="I6" s="15">
        <v>0.60299999999999998</v>
      </c>
      <c r="J6" s="13">
        <v>0.71199999999999997</v>
      </c>
      <c r="K6" s="13">
        <v>1.3280000000000001</v>
      </c>
      <c r="L6" s="14">
        <v>2.359</v>
      </c>
      <c r="M6" s="13">
        <v>0.45300000000000001</v>
      </c>
      <c r="N6" s="13">
        <v>0.24299999999999999</v>
      </c>
      <c r="O6" s="13">
        <v>0</v>
      </c>
      <c r="P6" s="13">
        <v>0</v>
      </c>
    </row>
    <row r="7" spans="1:16" ht="20.149999999999999" customHeight="1" x14ac:dyDescent="0.3">
      <c r="A7" s="5">
        <f t="shared" si="1"/>
        <v>2.8</v>
      </c>
      <c r="B7" s="13">
        <v>0.28199999999999997</v>
      </c>
      <c r="C7" s="13">
        <v>0</v>
      </c>
      <c r="D7" s="13">
        <v>9.7000000000000003E-2</v>
      </c>
      <c r="E7" s="13">
        <v>0.25600000000000001</v>
      </c>
      <c r="F7" s="14">
        <v>1.1679999999999999</v>
      </c>
      <c r="G7" s="13">
        <v>1.1819999999999999</v>
      </c>
      <c r="H7" s="13">
        <v>0.41399999999999998</v>
      </c>
      <c r="I7" s="15">
        <v>0.35899999999999999</v>
      </c>
      <c r="J7" s="13">
        <v>0.55600000000000005</v>
      </c>
      <c r="K7" s="13">
        <v>0.80200000000000005</v>
      </c>
      <c r="L7" s="14">
        <v>1.31</v>
      </c>
      <c r="M7" s="13">
        <v>0.34599999999999997</v>
      </c>
      <c r="N7" s="13">
        <v>0.32500000000000001</v>
      </c>
      <c r="O7" s="13">
        <v>0</v>
      </c>
      <c r="P7" s="13">
        <v>0</v>
      </c>
    </row>
    <row r="8" spans="1:16" ht="20.149999999999999" customHeight="1" x14ac:dyDescent="0.3">
      <c r="A8" s="5">
        <f t="shared" si="1"/>
        <v>2.4</v>
      </c>
      <c r="B8" s="15">
        <v>0.114</v>
      </c>
      <c r="C8" s="15">
        <v>0</v>
      </c>
      <c r="D8" s="15">
        <v>0.315</v>
      </c>
      <c r="E8" s="15">
        <v>0.13700000000000001</v>
      </c>
      <c r="F8" s="14">
        <v>0.57299999999999995</v>
      </c>
      <c r="G8" s="15">
        <v>0.40100000000000002</v>
      </c>
      <c r="H8" s="15">
        <v>0.35699999999999998</v>
      </c>
      <c r="I8" s="15">
        <v>0.47499999999999998</v>
      </c>
      <c r="J8" s="15">
        <v>0.56699999999999995</v>
      </c>
      <c r="K8" s="15">
        <v>0.55300000000000005</v>
      </c>
      <c r="L8" s="14">
        <v>0.33900000000000002</v>
      </c>
      <c r="M8" s="15">
        <v>0.498</v>
      </c>
      <c r="N8" s="15">
        <v>0.34899999999999998</v>
      </c>
      <c r="O8" s="15">
        <v>0</v>
      </c>
      <c r="P8" s="15">
        <v>0</v>
      </c>
    </row>
    <row r="9" spans="1:16" ht="20.149999999999999" customHeight="1" x14ac:dyDescent="0.3">
      <c r="A9" s="5">
        <f t="shared" si="1"/>
        <v>2</v>
      </c>
      <c r="B9" s="13">
        <v>0.498</v>
      </c>
      <c r="C9" s="13">
        <v>6.7000000000000004E-2</v>
      </c>
      <c r="D9" s="13">
        <v>0.29399999999999998</v>
      </c>
      <c r="E9" s="13">
        <v>0.56699999999999995</v>
      </c>
      <c r="F9" s="14">
        <v>1.4530000000000001</v>
      </c>
      <c r="G9" s="13">
        <v>0.752</v>
      </c>
      <c r="H9" s="13">
        <v>0.68300000000000005</v>
      </c>
      <c r="I9" s="15">
        <v>0.82199999999999995</v>
      </c>
      <c r="J9" s="13">
        <v>1.103</v>
      </c>
      <c r="K9" s="13">
        <v>1.9239999999999999</v>
      </c>
      <c r="L9" s="14">
        <v>0.63300000000000001</v>
      </c>
      <c r="M9" s="13">
        <v>0.70299999999999996</v>
      </c>
      <c r="N9" s="13">
        <v>0.626</v>
      </c>
      <c r="O9" s="13">
        <v>0</v>
      </c>
      <c r="P9" s="13">
        <v>0.16300000000000001</v>
      </c>
    </row>
    <row r="10" spans="1:16" ht="20.149999999999999" customHeight="1" x14ac:dyDescent="0.3">
      <c r="A10" s="5">
        <f t="shared" si="1"/>
        <v>1.6</v>
      </c>
      <c r="B10" s="13">
        <v>0.29799999999999999</v>
      </c>
      <c r="C10" s="13">
        <v>0.314</v>
      </c>
      <c r="D10" s="13">
        <v>0.13900000000000001</v>
      </c>
      <c r="E10" s="13">
        <v>1.556</v>
      </c>
      <c r="F10" s="14">
        <v>1.7310000000000001</v>
      </c>
      <c r="G10" s="13">
        <v>1.3380000000000001</v>
      </c>
      <c r="H10" s="13">
        <v>0.83899999999999997</v>
      </c>
      <c r="I10" s="15">
        <v>0.95499999999999996</v>
      </c>
      <c r="J10" s="13">
        <v>0.97</v>
      </c>
      <c r="K10" s="13">
        <v>1.4219999999999999</v>
      </c>
      <c r="L10" s="14">
        <v>1.538</v>
      </c>
      <c r="M10" s="13">
        <v>1.1870000000000001</v>
      </c>
      <c r="N10" s="13">
        <v>0.93500000000000005</v>
      </c>
      <c r="O10" s="13">
        <v>0.54400000000000004</v>
      </c>
      <c r="P10" s="13">
        <v>0.38700000000000001</v>
      </c>
    </row>
    <row r="11" spans="1:16" ht="20.149999999999999" customHeight="1" x14ac:dyDescent="0.3">
      <c r="A11" s="5">
        <f t="shared" si="1"/>
        <v>1.2000000000000002</v>
      </c>
      <c r="B11" s="14">
        <v>0.27500000000000002</v>
      </c>
      <c r="C11" s="14">
        <v>6.4000000000000001E-2</v>
      </c>
      <c r="D11" s="14">
        <v>0.28899999999999998</v>
      </c>
      <c r="E11" s="14">
        <v>0.93500000000000005</v>
      </c>
      <c r="F11" s="14">
        <v>1.2150000000000001</v>
      </c>
      <c r="G11" s="14">
        <v>1.4019999999999999</v>
      </c>
      <c r="H11" s="14">
        <v>1.3169999999999999</v>
      </c>
      <c r="I11" s="14">
        <v>0.86799999999999999</v>
      </c>
      <c r="J11" s="14">
        <v>1.052</v>
      </c>
      <c r="K11" s="14">
        <v>0.79800000000000004</v>
      </c>
      <c r="L11" s="14">
        <v>2.0419999999999998</v>
      </c>
      <c r="M11" s="14">
        <v>1.7330000000000001</v>
      </c>
      <c r="N11" s="14">
        <v>0.46600000000000003</v>
      </c>
      <c r="O11" s="14">
        <v>0.67</v>
      </c>
      <c r="P11" s="14">
        <v>0.253</v>
      </c>
    </row>
    <row r="12" spans="1:16" ht="20.149999999999999" customHeight="1" x14ac:dyDescent="0.3">
      <c r="A12" s="5">
        <f t="shared" si="1"/>
        <v>0.80000000000000016</v>
      </c>
      <c r="B12" s="13">
        <v>0.23699999999999999</v>
      </c>
      <c r="C12" s="13">
        <v>0.35099999999999998</v>
      </c>
      <c r="D12" s="13">
        <v>0.35099999999999998</v>
      </c>
      <c r="E12" s="13">
        <v>0.38300000000000001</v>
      </c>
      <c r="F12" s="14">
        <v>1.1539999999999999</v>
      </c>
      <c r="G12" s="13">
        <v>1.6240000000000001</v>
      </c>
      <c r="H12" s="13">
        <v>0.88800000000000001</v>
      </c>
      <c r="I12" s="15">
        <v>0.496</v>
      </c>
      <c r="J12" s="13">
        <v>0.38</v>
      </c>
      <c r="K12" s="13">
        <v>0.75900000000000001</v>
      </c>
      <c r="L12" s="14">
        <v>1.6859999999999999</v>
      </c>
      <c r="M12" s="13">
        <v>0.32700000000000001</v>
      </c>
      <c r="N12" s="13">
        <v>0.52400000000000002</v>
      </c>
      <c r="O12" s="13">
        <v>0.52500000000000002</v>
      </c>
      <c r="P12" s="13">
        <v>0.67300000000000004</v>
      </c>
    </row>
    <row r="13" spans="1:16" ht="20.149999999999999" customHeight="1" x14ac:dyDescent="0.3">
      <c r="A13" s="5">
        <f t="shared" si="1"/>
        <v>0.40000000000000013</v>
      </c>
      <c r="B13" s="13">
        <v>0.126</v>
      </c>
      <c r="C13" s="13">
        <v>0.36299999999999999</v>
      </c>
      <c r="D13" s="13">
        <v>0.24</v>
      </c>
      <c r="E13" s="13">
        <v>0.122</v>
      </c>
      <c r="F13" s="14">
        <v>0.247</v>
      </c>
      <c r="G13" s="13">
        <v>0.64800000000000002</v>
      </c>
      <c r="H13" s="13">
        <v>0.25800000000000001</v>
      </c>
      <c r="I13" s="15">
        <v>0.187</v>
      </c>
      <c r="J13" s="13">
        <v>5.2999999999999999E-2</v>
      </c>
      <c r="K13" s="13">
        <v>0.193</v>
      </c>
      <c r="L13" s="14">
        <v>0.26600000000000001</v>
      </c>
      <c r="M13" s="13">
        <v>0.248</v>
      </c>
      <c r="N13" s="13">
        <v>0.41899999999999998</v>
      </c>
      <c r="O13" s="13">
        <v>0.219</v>
      </c>
      <c r="P13" s="13">
        <v>0.56299999999999994</v>
      </c>
    </row>
    <row r="14" spans="1:16" ht="20.149999999999999" customHeight="1" x14ac:dyDescent="0.3">
      <c r="A14" s="5">
        <f t="shared" si="1"/>
        <v>0</v>
      </c>
      <c r="B14" s="13">
        <v>0.50800000000000001</v>
      </c>
      <c r="C14" s="13">
        <v>0.109</v>
      </c>
      <c r="D14" s="13">
        <v>0.191</v>
      </c>
      <c r="E14" s="13">
        <v>7.9000000000000001E-2</v>
      </c>
      <c r="F14" s="14">
        <v>0.22</v>
      </c>
      <c r="G14" s="13">
        <v>0.111</v>
      </c>
      <c r="H14" s="13">
        <v>0</v>
      </c>
      <c r="I14" s="15">
        <v>0</v>
      </c>
      <c r="J14" s="13">
        <v>0.14099999999999999</v>
      </c>
      <c r="K14" s="13">
        <v>0</v>
      </c>
      <c r="L14" s="14">
        <v>0.107</v>
      </c>
      <c r="M14" s="13">
        <v>0.11600000000000001</v>
      </c>
      <c r="N14" s="13">
        <v>0.34799999999999998</v>
      </c>
      <c r="O14" s="13">
        <v>0.16200000000000001</v>
      </c>
      <c r="P14" s="13">
        <v>0.27200000000000002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AD39-1BCA-4FFC-AC02-676B296AF409}">
  <dimension ref="A1:T33"/>
  <sheetViews>
    <sheetView zoomScale="85" zoomScaleNormal="85" workbookViewId="0">
      <selection activeCell="P17" sqref="P17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8">
        <v>3.4</v>
      </c>
      <c r="B2" s="18">
        <v>3.6</v>
      </c>
      <c r="C2" s="11">
        <v>1</v>
      </c>
      <c r="D2" s="12">
        <v>0.79300000000000004</v>
      </c>
      <c r="E2" s="17">
        <f>AVERAGE(D2:D16)</f>
        <v>0.98646666666666671</v>
      </c>
      <c r="F2" s="17">
        <f>_xlfn.VAR.S(D2:D16)</f>
        <v>3.6606266666666824E-2</v>
      </c>
      <c r="H2" s="18">
        <v>5</v>
      </c>
      <c r="I2" s="18">
        <v>1.2</v>
      </c>
      <c r="J2" s="11">
        <v>1</v>
      </c>
      <c r="K2" s="12">
        <v>0.78100000000000003</v>
      </c>
      <c r="L2" s="17">
        <f>AVERAGE(K2:K16)</f>
        <v>0.79753333333333343</v>
      </c>
      <c r="M2" s="17">
        <f>_xlfn.VAR.S(K2:K16)</f>
        <v>4.3759409523809314E-2</v>
      </c>
      <c r="O2" s="18">
        <v>4.5999999999999996</v>
      </c>
      <c r="P2" s="18">
        <v>3.2</v>
      </c>
      <c r="Q2" s="11">
        <v>1</v>
      </c>
      <c r="R2" s="12">
        <v>0.629</v>
      </c>
      <c r="S2" s="17">
        <f>AVERAGE(R2:R16)</f>
        <v>0.71166666666666656</v>
      </c>
      <c r="T2" s="17">
        <f>_xlfn.VAR.S(R2:R16)</f>
        <v>1.9546523809523882E-2</v>
      </c>
    </row>
    <row r="3" spans="1:20" ht="15" customHeight="1" x14ac:dyDescent="0.3">
      <c r="A3" s="18"/>
      <c r="B3" s="18"/>
      <c r="C3" s="11">
        <v>2</v>
      </c>
      <c r="D3" s="12">
        <v>1.091</v>
      </c>
      <c r="E3" s="17"/>
      <c r="F3" s="17"/>
      <c r="H3" s="18"/>
      <c r="I3" s="18"/>
      <c r="J3" s="11">
        <v>2</v>
      </c>
      <c r="K3" s="12">
        <v>0.68300000000000005</v>
      </c>
      <c r="L3" s="17"/>
      <c r="M3" s="17"/>
      <c r="O3" s="18"/>
      <c r="P3" s="18"/>
      <c r="Q3" s="11">
        <v>2</v>
      </c>
      <c r="R3" s="12">
        <v>0.89200000000000002</v>
      </c>
      <c r="S3" s="17"/>
      <c r="T3" s="17"/>
    </row>
    <row r="4" spans="1:20" ht="15" customHeight="1" x14ac:dyDescent="0.3">
      <c r="A4" s="18"/>
      <c r="B4" s="18"/>
      <c r="C4" s="11">
        <v>3</v>
      </c>
      <c r="D4" s="12">
        <v>1.226</v>
      </c>
      <c r="E4" s="17"/>
      <c r="F4" s="17"/>
      <c r="H4" s="18"/>
      <c r="I4" s="18"/>
      <c r="J4" s="11">
        <v>3</v>
      </c>
      <c r="K4" s="12">
        <v>0.63800000000000001</v>
      </c>
      <c r="L4" s="17"/>
      <c r="M4" s="17"/>
      <c r="O4" s="18"/>
      <c r="P4" s="18"/>
      <c r="Q4" s="11">
        <v>3</v>
      </c>
      <c r="R4" s="12">
        <v>0.69899999999999995</v>
      </c>
      <c r="S4" s="17"/>
      <c r="T4" s="17"/>
    </row>
    <row r="5" spans="1:20" ht="15" customHeight="1" x14ac:dyDescent="0.3">
      <c r="A5" s="18"/>
      <c r="B5" s="18"/>
      <c r="C5" s="11">
        <v>4</v>
      </c>
      <c r="D5" s="12">
        <v>0.95</v>
      </c>
      <c r="E5" s="17"/>
      <c r="F5" s="17"/>
      <c r="H5" s="18"/>
      <c r="I5" s="18"/>
      <c r="J5" s="11">
        <v>4</v>
      </c>
      <c r="K5" s="12">
        <v>0.85399999999999998</v>
      </c>
      <c r="L5" s="17"/>
      <c r="M5" s="17"/>
      <c r="O5" s="18"/>
      <c r="P5" s="18"/>
      <c r="Q5" s="11">
        <v>4</v>
      </c>
      <c r="R5" s="12">
        <v>0.745</v>
      </c>
      <c r="S5" s="17"/>
      <c r="T5" s="17"/>
    </row>
    <row r="6" spans="1:20" ht="15" customHeight="1" x14ac:dyDescent="0.3">
      <c r="A6" s="18"/>
      <c r="B6" s="18"/>
      <c r="C6" s="11">
        <v>5</v>
      </c>
      <c r="D6" s="12">
        <v>0.80600000000000005</v>
      </c>
      <c r="E6" s="17"/>
      <c r="F6" s="17"/>
      <c r="H6" s="18"/>
      <c r="I6" s="18"/>
      <c r="J6" s="11">
        <v>5</v>
      </c>
      <c r="K6" s="12">
        <v>0.68600000000000005</v>
      </c>
      <c r="L6" s="17"/>
      <c r="M6" s="17"/>
      <c r="O6" s="18"/>
      <c r="P6" s="18"/>
      <c r="Q6" s="11">
        <v>5</v>
      </c>
      <c r="R6" s="12">
        <v>0.70299999999999996</v>
      </c>
      <c r="S6" s="17"/>
      <c r="T6" s="17"/>
    </row>
    <row r="7" spans="1:20" ht="15" customHeight="1" x14ac:dyDescent="0.3">
      <c r="A7" s="18"/>
      <c r="B7" s="18"/>
      <c r="C7" s="11">
        <v>6</v>
      </c>
      <c r="D7" s="12">
        <v>1.3180000000000001</v>
      </c>
      <c r="E7" s="17"/>
      <c r="F7" s="17"/>
      <c r="H7" s="18"/>
      <c r="I7" s="18"/>
      <c r="J7" s="11">
        <v>6</v>
      </c>
      <c r="K7" s="12">
        <v>0.622</v>
      </c>
      <c r="L7" s="17"/>
      <c r="M7" s="17"/>
      <c r="O7" s="18"/>
      <c r="P7" s="18"/>
      <c r="Q7" s="11">
        <v>6</v>
      </c>
      <c r="R7" s="12">
        <v>0.96099999999999997</v>
      </c>
      <c r="S7" s="17"/>
      <c r="T7" s="17"/>
    </row>
    <row r="8" spans="1:20" ht="15" customHeight="1" x14ac:dyDescent="0.3">
      <c r="A8" s="18"/>
      <c r="B8" s="18"/>
      <c r="C8" s="11">
        <v>7</v>
      </c>
      <c r="D8" s="12">
        <v>0.747</v>
      </c>
      <c r="E8" s="17"/>
      <c r="F8" s="17"/>
      <c r="H8" s="18"/>
      <c r="I8" s="18"/>
      <c r="J8" s="11">
        <v>7</v>
      </c>
      <c r="K8" s="12">
        <v>0.996</v>
      </c>
      <c r="L8" s="17"/>
      <c r="M8" s="17"/>
      <c r="O8" s="18"/>
      <c r="P8" s="18"/>
      <c r="Q8" s="11">
        <v>7</v>
      </c>
      <c r="R8" s="12">
        <v>0.68400000000000005</v>
      </c>
      <c r="S8" s="17"/>
      <c r="T8" s="17"/>
    </row>
    <row r="9" spans="1:20" ht="15" customHeight="1" x14ac:dyDescent="0.3">
      <c r="A9" s="18"/>
      <c r="B9" s="18"/>
      <c r="C9" s="11">
        <v>8</v>
      </c>
      <c r="D9" s="12">
        <v>1.077</v>
      </c>
      <c r="E9" s="17"/>
      <c r="F9" s="17"/>
      <c r="H9" s="18"/>
      <c r="I9" s="18"/>
      <c r="J9" s="11">
        <v>8</v>
      </c>
      <c r="K9" s="12">
        <v>0.61</v>
      </c>
      <c r="L9" s="17"/>
      <c r="M9" s="17"/>
      <c r="O9" s="18"/>
      <c r="P9" s="18"/>
      <c r="Q9" s="11">
        <v>8</v>
      </c>
      <c r="R9" s="12">
        <v>0.65100000000000002</v>
      </c>
      <c r="S9" s="17"/>
      <c r="T9" s="17"/>
    </row>
    <row r="10" spans="1:20" ht="15" customHeight="1" x14ac:dyDescent="0.3">
      <c r="A10" s="18"/>
      <c r="B10" s="18"/>
      <c r="C10" s="11">
        <v>9</v>
      </c>
      <c r="D10" s="12">
        <v>0.80400000000000005</v>
      </c>
      <c r="E10" s="17"/>
      <c r="F10" s="17"/>
      <c r="H10" s="18"/>
      <c r="I10" s="18"/>
      <c r="J10" s="11">
        <v>9</v>
      </c>
      <c r="K10" s="12">
        <v>0.90500000000000003</v>
      </c>
      <c r="L10" s="17"/>
      <c r="M10" s="17"/>
      <c r="O10" s="18"/>
      <c r="P10" s="18"/>
      <c r="Q10" s="11">
        <v>9</v>
      </c>
      <c r="R10" s="12">
        <v>0.81399999999999995</v>
      </c>
      <c r="S10" s="17"/>
      <c r="T10" s="17"/>
    </row>
    <row r="11" spans="1:20" ht="15" customHeight="1" x14ac:dyDescent="0.3">
      <c r="A11" s="18"/>
      <c r="B11" s="18"/>
      <c r="C11" s="11">
        <v>10</v>
      </c>
      <c r="D11" s="12">
        <v>0.84899999999999998</v>
      </c>
      <c r="E11" s="17"/>
      <c r="F11" s="17"/>
      <c r="H11" s="18"/>
      <c r="I11" s="18"/>
      <c r="J11" s="11">
        <v>10</v>
      </c>
      <c r="K11" s="12">
        <v>0.98099999999999998</v>
      </c>
      <c r="L11" s="17"/>
      <c r="M11" s="17"/>
      <c r="O11" s="18"/>
      <c r="P11" s="18"/>
      <c r="Q11" s="11">
        <v>10</v>
      </c>
      <c r="R11" s="12">
        <v>0.70699999999999996</v>
      </c>
      <c r="S11" s="17"/>
      <c r="T11" s="17"/>
    </row>
    <row r="12" spans="1:20" ht="15" customHeight="1" x14ac:dyDescent="0.3">
      <c r="A12" s="18"/>
      <c r="B12" s="18"/>
      <c r="C12" s="11">
        <v>11</v>
      </c>
      <c r="D12" s="12">
        <v>1.226</v>
      </c>
      <c r="E12" s="17"/>
      <c r="F12" s="17"/>
      <c r="H12" s="18"/>
      <c r="I12" s="18"/>
      <c r="J12" s="11">
        <v>11</v>
      </c>
      <c r="K12" s="12">
        <v>0.96399999999999997</v>
      </c>
      <c r="L12" s="17"/>
      <c r="M12" s="17"/>
      <c r="O12" s="18"/>
      <c r="P12" s="18"/>
      <c r="Q12" s="11">
        <v>11</v>
      </c>
      <c r="R12" s="12">
        <v>0.91200000000000003</v>
      </c>
      <c r="S12" s="17"/>
      <c r="T12" s="17"/>
    </row>
    <row r="13" spans="1:20" ht="15" customHeight="1" x14ac:dyDescent="0.3">
      <c r="A13" s="18"/>
      <c r="B13" s="18"/>
      <c r="C13" s="11">
        <v>12</v>
      </c>
      <c r="D13" s="12">
        <v>0.89200000000000002</v>
      </c>
      <c r="E13" s="17"/>
      <c r="F13" s="17"/>
      <c r="H13" s="18"/>
      <c r="I13" s="18"/>
      <c r="J13" s="11">
        <v>12</v>
      </c>
      <c r="K13" s="12">
        <v>0.308</v>
      </c>
      <c r="L13" s="17"/>
      <c r="M13" s="17"/>
      <c r="O13" s="18"/>
      <c r="P13" s="18"/>
      <c r="Q13" s="11">
        <v>12</v>
      </c>
      <c r="R13" s="12">
        <v>0.70299999999999996</v>
      </c>
      <c r="S13" s="17"/>
      <c r="T13" s="17"/>
    </row>
    <row r="14" spans="1:20" ht="15" customHeight="1" x14ac:dyDescent="0.3">
      <c r="A14" s="18"/>
      <c r="B14" s="18"/>
      <c r="C14" s="11">
        <v>13</v>
      </c>
      <c r="D14" s="12">
        <v>0.98699999999999999</v>
      </c>
      <c r="E14" s="17"/>
      <c r="F14" s="17"/>
      <c r="H14" s="18"/>
      <c r="I14" s="18"/>
      <c r="J14" s="11">
        <v>13</v>
      </c>
      <c r="K14" s="12">
        <v>0.98699999999999999</v>
      </c>
      <c r="L14" s="17"/>
      <c r="M14" s="17"/>
      <c r="O14" s="18"/>
      <c r="P14" s="18"/>
      <c r="Q14" s="11">
        <v>13</v>
      </c>
      <c r="R14" s="12">
        <v>0.53500000000000003</v>
      </c>
      <c r="S14" s="17"/>
      <c r="T14" s="17"/>
    </row>
    <row r="15" spans="1:20" ht="15" customHeight="1" x14ac:dyDescent="0.3">
      <c r="A15" s="18"/>
      <c r="B15" s="18"/>
      <c r="C15" s="11">
        <v>14</v>
      </c>
      <c r="D15" s="12">
        <v>1.212</v>
      </c>
      <c r="E15" s="17"/>
      <c r="F15" s="17"/>
      <c r="H15" s="18"/>
      <c r="I15" s="18"/>
      <c r="J15" s="11">
        <v>14</v>
      </c>
      <c r="K15" s="12">
        <v>1.119</v>
      </c>
      <c r="L15" s="17"/>
      <c r="M15" s="17"/>
      <c r="O15" s="18"/>
      <c r="P15" s="18"/>
      <c r="Q15" s="11">
        <v>14</v>
      </c>
      <c r="R15" s="12">
        <v>0.59399999999999997</v>
      </c>
      <c r="S15" s="17"/>
      <c r="T15" s="17"/>
    </row>
    <row r="16" spans="1:20" ht="15" customHeight="1" x14ac:dyDescent="0.3">
      <c r="A16" s="18"/>
      <c r="B16" s="18"/>
      <c r="C16" s="11">
        <v>15</v>
      </c>
      <c r="D16" s="12">
        <v>0.81899999999999995</v>
      </c>
      <c r="E16" s="17"/>
      <c r="F16" s="17"/>
      <c r="H16" s="18"/>
      <c r="I16" s="18"/>
      <c r="J16" s="11">
        <v>15</v>
      </c>
      <c r="K16" s="12">
        <v>0.82899999999999996</v>
      </c>
      <c r="L16" s="17"/>
      <c r="M16" s="17"/>
      <c r="O16" s="18"/>
      <c r="P16" s="18"/>
      <c r="Q16" s="11">
        <v>15</v>
      </c>
      <c r="R16" s="12">
        <v>0.44600000000000001</v>
      </c>
      <c r="S16" s="17"/>
      <c r="T16" s="17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8">
        <v>4.2</v>
      </c>
      <c r="B19" s="18">
        <v>2.4</v>
      </c>
      <c r="C19" s="11">
        <v>1</v>
      </c>
      <c r="D19" s="12">
        <v>0.59699999999999998</v>
      </c>
      <c r="E19" s="17">
        <f>AVERAGE(D19:D33)</f>
        <v>0.47473333333333334</v>
      </c>
      <c r="F19" s="17">
        <f>_xlfn.VAR.S(D19:D33)</f>
        <v>2.8018638095238049E-2</v>
      </c>
      <c r="H19" s="18">
        <v>6.2</v>
      </c>
      <c r="I19" s="18">
        <v>0</v>
      </c>
      <c r="J19" s="11">
        <v>1</v>
      </c>
      <c r="K19" s="12">
        <v>0.36599999999999999</v>
      </c>
      <c r="L19" s="17">
        <f>AVERAGE(K19:K33)</f>
        <v>0.34839999999999999</v>
      </c>
      <c r="M19" s="17">
        <f>_xlfn.VAR.S(K19:K33)</f>
        <v>2.2361971428571419E-2</v>
      </c>
      <c r="O19" s="18">
        <v>0</v>
      </c>
      <c r="P19" s="18">
        <v>4.8</v>
      </c>
      <c r="Q19" s="11">
        <v>1</v>
      </c>
      <c r="R19" s="12">
        <v>0</v>
      </c>
      <c r="S19" s="17">
        <f>AVERAGE(R19:R33)</f>
        <v>0</v>
      </c>
      <c r="T19" s="17">
        <f>_xlfn.VAR.S(R19:R33)</f>
        <v>0</v>
      </c>
    </row>
    <row r="20" spans="1:20" ht="15" customHeight="1" x14ac:dyDescent="0.3">
      <c r="A20" s="18"/>
      <c r="B20" s="18"/>
      <c r="C20" s="11">
        <v>2</v>
      </c>
      <c r="D20" s="12">
        <v>0.55000000000000004</v>
      </c>
      <c r="E20" s="17"/>
      <c r="F20" s="17"/>
      <c r="H20" s="18"/>
      <c r="I20" s="18"/>
      <c r="J20" s="11">
        <v>2</v>
      </c>
      <c r="K20" s="12">
        <v>0.35</v>
      </c>
      <c r="L20" s="17"/>
      <c r="M20" s="17"/>
      <c r="O20" s="18"/>
      <c r="P20" s="18"/>
      <c r="Q20" s="11">
        <v>2</v>
      </c>
      <c r="R20" s="12">
        <v>0</v>
      </c>
      <c r="S20" s="17"/>
      <c r="T20" s="17"/>
    </row>
    <row r="21" spans="1:20" ht="15" customHeight="1" x14ac:dyDescent="0.3">
      <c r="A21" s="18"/>
      <c r="B21" s="18"/>
      <c r="C21" s="11">
        <v>3</v>
      </c>
      <c r="D21" s="12">
        <v>0.35</v>
      </c>
      <c r="E21" s="17"/>
      <c r="F21" s="17"/>
      <c r="H21" s="18"/>
      <c r="I21" s="18"/>
      <c r="J21" s="11">
        <v>3</v>
      </c>
      <c r="K21" s="12">
        <v>8.2000000000000003E-2</v>
      </c>
      <c r="L21" s="17"/>
      <c r="M21" s="17"/>
      <c r="O21" s="18"/>
      <c r="P21" s="18"/>
      <c r="Q21" s="11">
        <v>3</v>
      </c>
      <c r="R21" s="12">
        <v>0</v>
      </c>
      <c r="S21" s="17"/>
      <c r="T21" s="17"/>
    </row>
    <row r="22" spans="1:20" ht="15" customHeight="1" x14ac:dyDescent="0.3">
      <c r="A22" s="18"/>
      <c r="B22" s="18"/>
      <c r="C22" s="11">
        <v>4</v>
      </c>
      <c r="D22" s="12">
        <v>0.42</v>
      </c>
      <c r="E22" s="17"/>
      <c r="F22" s="17"/>
      <c r="H22" s="18"/>
      <c r="I22" s="18"/>
      <c r="J22" s="11">
        <v>4</v>
      </c>
      <c r="K22" s="12">
        <v>0.13700000000000001</v>
      </c>
      <c r="L22" s="17"/>
      <c r="M22" s="17"/>
      <c r="O22" s="18"/>
      <c r="P22" s="18"/>
      <c r="Q22" s="11">
        <v>4</v>
      </c>
      <c r="R22" s="12">
        <v>0</v>
      </c>
      <c r="S22" s="17"/>
      <c r="T22" s="17"/>
    </row>
    <row r="23" spans="1:20" ht="15" customHeight="1" x14ac:dyDescent="0.3">
      <c r="A23" s="18"/>
      <c r="B23" s="18"/>
      <c r="C23" s="11">
        <v>5</v>
      </c>
      <c r="D23" s="12">
        <v>0.41199999999999998</v>
      </c>
      <c r="E23" s="17"/>
      <c r="F23" s="17"/>
      <c r="H23" s="18"/>
      <c r="I23" s="18"/>
      <c r="J23" s="11">
        <v>5</v>
      </c>
      <c r="K23" s="12">
        <v>0.45200000000000001</v>
      </c>
      <c r="L23" s="17"/>
      <c r="M23" s="17"/>
      <c r="O23" s="18"/>
      <c r="P23" s="18"/>
      <c r="Q23" s="11">
        <v>5</v>
      </c>
      <c r="R23" s="12">
        <v>0</v>
      </c>
      <c r="S23" s="17"/>
      <c r="T23" s="17"/>
    </row>
    <row r="24" spans="1:20" ht="15" customHeight="1" x14ac:dyDescent="0.3">
      <c r="A24" s="18"/>
      <c r="B24" s="18"/>
      <c r="C24" s="11">
        <v>6</v>
      </c>
      <c r="D24" s="12">
        <v>0.42799999999999999</v>
      </c>
      <c r="E24" s="17"/>
      <c r="F24" s="17"/>
      <c r="H24" s="18"/>
      <c r="I24" s="18"/>
      <c r="J24" s="11">
        <v>6</v>
      </c>
      <c r="K24" s="12">
        <v>0.113</v>
      </c>
      <c r="L24" s="17"/>
      <c r="M24" s="17"/>
      <c r="O24" s="18"/>
      <c r="P24" s="18"/>
      <c r="Q24" s="11">
        <v>6</v>
      </c>
      <c r="R24" s="12">
        <v>0</v>
      </c>
      <c r="S24" s="17"/>
      <c r="T24" s="17"/>
    </row>
    <row r="25" spans="1:20" ht="15" customHeight="1" x14ac:dyDescent="0.3">
      <c r="A25" s="18"/>
      <c r="B25" s="18"/>
      <c r="C25" s="11">
        <v>7</v>
      </c>
      <c r="D25" s="12">
        <v>0.24299999999999999</v>
      </c>
      <c r="E25" s="17"/>
      <c r="F25" s="17"/>
      <c r="H25" s="18"/>
      <c r="I25" s="18"/>
      <c r="J25" s="11">
        <v>7</v>
      </c>
      <c r="K25" s="12">
        <v>0.248</v>
      </c>
      <c r="L25" s="17"/>
      <c r="M25" s="17"/>
      <c r="O25" s="18"/>
      <c r="P25" s="18"/>
      <c r="Q25" s="11">
        <v>7</v>
      </c>
      <c r="R25" s="12">
        <v>0</v>
      </c>
      <c r="S25" s="17"/>
      <c r="T25" s="17"/>
    </row>
    <row r="26" spans="1:20" ht="15" customHeight="1" x14ac:dyDescent="0.3">
      <c r="A26" s="18"/>
      <c r="B26" s="18"/>
      <c r="C26" s="11">
        <v>8</v>
      </c>
      <c r="D26" s="12">
        <v>0.192</v>
      </c>
      <c r="E26" s="17"/>
      <c r="F26" s="17"/>
      <c r="H26" s="18"/>
      <c r="I26" s="18"/>
      <c r="J26" s="11">
        <v>8</v>
      </c>
      <c r="K26" s="12">
        <v>0.53300000000000003</v>
      </c>
      <c r="L26" s="17"/>
      <c r="M26" s="17"/>
      <c r="O26" s="18"/>
      <c r="P26" s="18"/>
      <c r="Q26" s="11">
        <v>8</v>
      </c>
      <c r="R26" s="12">
        <v>0</v>
      </c>
      <c r="S26" s="17"/>
      <c r="T26" s="17"/>
    </row>
    <row r="27" spans="1:20" ht="15" customHeight="1" x14ac:dyDescent="0.3">
      <c r="A27" s="18"/>
      <c r="B27" s="18"/>
      <c r="C27" s="11">
        <v>9</v>
      </c>
      <c r="D27" s="12">
        <v>0.36899999999999999</v>
      </c>
      <c r="E27" s="17"/>
      <c r="F27" s="17"/>
      <c r="H27" s="18"/>
      <c r="I27" s="18"/>
      <c r="J27" s="11">
        <v>9</v>
      </c>
      <c r="K27" s="12">
        <v>0.49</v>
      </c>
      <c r="L27" s="17"/>
      <c r="M27" s="17"/>
      <c r="O27" s="18"/>
      <c r="P27" s="18"/>
      <c r="Q27" s="11">
        <v>9</v>
      </c>
      <c r="R27" s="12">
        <v>0</v>
      </c>
      <c r="S27" s="17"/>
      <c r="T27" s="17"/>
    </row>
    <row r="28" spans="1:20" ht="15" customHeight="1" x14ac:dyDescent="0.3">
      <c r="A28" s="18"/>
      <c r="B28" s="18"/>
      <c r="C28" s="11">
        <v>10</v>
      </c>
      <c r="D28" s="12">
        <v>0.68100000000000005</v>
      </c>
      <c r="E28" s="17"/>
      <c r="F28" s="17"/>
      <c r="H28" s="18"/>
      <c r="I28" s="18"/>
      <c r="J28" s="11">
        <v>10</v>
      </c>
      <c r="K28" s="12">
        <v>0.51600000000000001</v>
      </c>
      <c r="L28" s="17"/>
      <c r="M28" s="17"/>
      <c r="O28" s="18"/>
      <c r="P28" s="18"/>
      <c r="Q28" s="11">
        <v>10</v>
      </c>
      <c r="R28" s="12">
        <v>0</v>
      </c>
      <c r="S28" s="17"/>
      <c r="T28" s="17"/>
    </row>
    <row r="29" spans="1:20" ht="15" customHeight="1" x14ac:dyDescent="0.3">
      <c r="A29" s="18"/>
      <c r="B29" s="18"/>
      <c r="C29" s="11">
        <v>11</v>
      </c>
      <c r="D29" s="12">
        <v>0.39200000000000002</v>
      </c>
      <c r="E29" s="17"/>
      <c r="F29" s="17"/>
      <c r="H29" s="18"/>
      <c r="I29" s="18"/>
      <c r="J29" s="11">
        <v>11</v>
      </c>
      <c r="K29" s="12">
        <v>0.52700000000000002</v>
      </c>
      <c r="L29" s="17"/>
      <c r="M29" s="17"/>
      <c r="O29" s="18"/>
      <c r="P29" s="18"/>
      <c r="Q29" s="11">
        <v>11</v>
      </c>
      <c r="R29" s="12">
        <v>0</v>
      </c>
      <c r="S29" s="17"/>
      <c r="T29" s="17"/>
    </row>
    <row r="30" spans="1:20" ht="15" customHeight="1" x14ac:dyDescent="0.3">
      <c r="A30" s="18"/>
      <c r="B30" s="18"/>
      <c r="C30" s="11">
        <v>12</v>
      </c>
      <c r="D30" s="12">
        <v>0.70599999999999996</v>
      </c>
      <c r="E30" s="17"/>
      <c r="F30" s="17"/>
      <c r="H30" s="18"/>
      <c r="I30" s="18"/>
      <c r="J30" s="11">
        <v>12</v>
      </c>
      <c r="K30" s="12">
        <v>0.30099999999999999</v>
      </c>
      <c r="L30" s="17"/>
      <c r="M30" s="17"/>
      <c r="O30" s="18"/>
      <c r="P30" s="18"/>
      <c r="Q30" s="11">
        <v>12</v>
      </c>
      <c r="R30" s="12">
        <v>0</v>
      </c>
      <c r="S30" s="17"/>
      <c r="T30" s="17"/>
    </row>
    <row r="31" spans="1:20" ht="15" customHeight="1" x14ac:dyDescent="0.3">
      <c r="A31" s="18"/>
      <c r="B31" s="18"/>
      <c r="C31" s="11">
        <v>13</v>
      </c>
      <c r="D31" s="12">
        <v>0.77400000000000002</v>
      </c>
      <c r="E31" s="17"/>
      <c r="F31" s="17"/>
      <c r="H31" s="18"/>
      <c r="I31" s="18"/>
      <c r="J31" s="11">
        <v>13</v>
      </c>
      <c r="K31" s="12">
        <v>0.35399999999999998</v>
      </c>
      <c r="L31" s="17"/>
      <c r="M31" s="17"/>
      <c r="O31" s="18"/>
      <c r="P31" s="18"/>
      <c r="Q31" s="11">
        <v>13</v>
      </c>
      <c r="R31" s="12">
        <v>0</v>
      </c>
      <c r="S31" s="17"/>
      <c r="T31" s="17"/>
    </row>
    <row r="32" spans="1:20" ht="15" customHeight="1" x14ac:dyDescent="0.3">
      <c r="A32" s="18"/>
      <c r="B32" s="18"/>
      <c r="C32" s="11">
        <v>14</v>
      </c>
      <c r="D32" s="12">
        <v>0.56699999999999995</v>
      </c>
      <c r="E32" s="17"/>
      <c r="F32" s="17"/>
      <c r="H32" s="18"/>
      <c r="I32" s="18"/>
      <c r="J32" s="11">
        <v>14</v>
      </c>
      <c r="K32" s="12">
        <v>0.34200000000000003</v>
      </c>
      <c r="L32" s="17"/>
      <c r="M32" s="17"/>
      <c r="O32" s="18"/>
      <c r="P32" s="18"/>
      <c r="Q32" s="11">
        <v>14</v>
      </c>
      <c r="R32" s="12">
        <v>0</v>
      </c>
      <c r="S32" s="17"/>
      <c r="T32" s="17"/>
    </row>
    <row r="33" spans="1:20" ht="15" customHeight="1" x14ac:dyDescent="0.3">
      <c r="A33" s="18"/>
      <c r="B33" s="18"/>
      <c r="C33" s="11">
        <v>15</v>
      </c>
      <c r="D33" s="12">
        <v>0.44</v>
      </c>
      <c r="E33" s="17"/>
      <c r="F33" s="17"/>
      <c r="H33" s="18"/>
      <c r="I33" s="18"/>
      <c r="J33" s="11">
        <v>15</v>
      </c>
      <c r="K33" s="12">
        <v>0.41499999999999998</v>
      </c>
      <c r="L33" s="17"/>
      <c r="M33" s="17"/>
      <c r="O33" s="18"/>
      <c r="P33" s="18"/>
      <c r="Q33" s="11">
        <v>15</v>
      </c>
      <c r="R33" s="12">
        <v>0</v>
      </c>
      <c r="S33" s="17"/>
      <c r="T33" s="17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D969-8304-4DE6-BA5F-9965D5C2B280}">
  <dimension ref="A1:P14"/>
  <sheetViews>
    <sheetView workbookViewId="0">
      <selection activeCell="C19" sqref="C19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0.22700000000000001</v>
      </c>
      <c r="C2" s="13">
        <v>0.44900000000000001</v>
      </c>
      <c r="D2" s="13">
        <v>0.26700000000000002</v>
      </c>
      <c r="E2" s="13">
        <v>0.54500000000000004</v>
      </c>
      <c r="F2" s="14">
        <v>0.35499999999999998</v>
      </c>
      <c r="G2" s="13">
        <v>0.51800000000000002</v>
      </c>
      <c r="H2" s="13">
        <v>0.35</v>
      </c>
      <c r="I2" s="15">
        <v>1.556</v>
      </c>
      <c r="J2" s="13">
        <v>0.52600000000000002</v>
      </c>
      <c r="K2" s="13">
        <v>0.626</v>
      </c>
      <c r="L2" s="14">
        <v>0.623</v>
      </c>
      <c r="M2" s="13">
        <v>0.22</v>
      </c>
      <c r="N2" s="13">
        <v>0.155</v>
      </c>
      <c r="O2" s="13">
        <v>2E-3</v>
      </c>
      <c r="P2" s="13">
        <v>0.27900000000000003</v>
      </c>
    </row>
    <row r="3" spans="1:16" ht="20.149999999999999" customHeight="1" x14ac:dyDescent="0.3">
      <c r="A3" s="5">
        <f>A2-0.4</f>
        <v>4.3999999999999995</v>
      </c>
      <c r="B3" s="13">
        <v>6.2E-2</v>
      </c>
      <c r="C3" s="13">
        <v>0.308</v>
      </c>
      <c r="D3" s="13">
        <v>0.36799999999999999</v>
      </c>
      <c r="E3" s="13">
        <v>0.39400000000000002</v>
      </c>
      <c r="F3" s="14">
        <v>1.484</v>
      </c>
      <c r="G3" s="13">
        <v>1.0820000000000001</v>
      </c>
      <c r="H3" s="13">
        <v>0.72899999999999998</v>
      </c>
      <c r="I3" s="15">
        <v>1.8480000000000001</v>
      </c>
      <c r="J3" s="13">
        <v>0.79700000000000004</v>
      </c>
      <c r="K3" s="13">
        <v>1.458</v>
      </c>
      <c r="L3" s="14">
        <v>0.92400000000000004</v>
      </c>
      <c r="M3" s="13">
        <v>0.17100000000000001</v>
      </c>
      <c r="N3" s="13">
        <v>0.95599999999999996</v>
      </c>
      <c r="O3" s="13">
        <v>0.13700000000000001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3.2000000000000001E-2</v>
      </c>
      <c r="C4" s="13">
        <v>0.441</v>
      </c>
      <c r="D4" s="13">
        <v>0.24</v>
      </c>
      <c r="E4" s="13">
        <v>0.95599999999999996</v>
      </c>
      <c r="F4" s="14">
        <v>2.347</v>
      </c>
      <c r="G4" s="13">
        <v>1.599</v>
      </c>
      <c r="H4" s="13">
        <v>1.4339999999999999</v>
      </c>
      <c r="I4" s="15">
        <v>1.2</v>
      </c>
      <c r="J4" s="13">
        <v>0.77200000000000002</v>
      </c>
      <c r="K4" s="13">
        <v>0.81299999999999994</v>
      </c>
      <c r="L4" s="14">
        <v>0.39100000000000001</v>
      </c>
      <c r="M4" s="13">
        <v>2.0169999999999999</v>
      </c>
      <c r="N4" s="13">
        <v>0.86399999999999999</v>
      </c>
      <c r="O4" s="13">
        <v>0.186</v>
      </c>
      <c r="P4" s="13">
        <v>0</v>
      </c>
    </row>
    <row r="5" spans="1:16" ht="20.149999999999999" customHeight="1" x14ac:dyDescent="0.3">
      <c r="A5" s="5">
        <f t="shared" si="1"/>
        <v>3.5999999999999996</v>
      </c>
      <c r="B5" s="14">
        <v>0.255</v>
      </c>
      <c r="C5" s="14">
        <v>0</v>
      </c>
      <c r="D5" s="14">
        <v>0.434</v>
      </c>
      <c r="E5" s="14">
        <v>0.65700000000000003</v>
      </c>
      <c r="F5" s="14">
        <v>0.80800000000000005</v>
      </c>
      <c r="G5" s="14">
        <v>0.97199999999999998</v>
      </c>
      <c r="H5" s="14">
        <v>1.056</v>
      </c>
      <c r="I5" s="14">
        <v>1.0049999999999999</v>
      </c>
      <c r="J5" s="14">
        <v>0.64600000000000002</v>
      </c>
      <c r="K5" s="14">
        <v>0.53100000000000003</v>
      </c>
      <c r="L5" s="14">
        <v>1.6</v>
      </c>
      <c r="M5" s="14">
        <v>1.369</v>
      </c>
      <c r="N5" s="14">
        <v>0.78700000000000003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0.22900000000000001</v>
      </c>
      <c r="C6" s="13">
        <v>2.4E-2</v>
      </c>
      <c r="D6" s="13">
        <v>0.248</v>
      </c>
      <c r="E6" s="13">
        <v>0.90800000000000003</v>
      </c>
      <c r="F6" s="14">
        <v>1.0329999999999999</v>
      </c>
      <c r="G6" s="13">
        <v>1.714</v>
      </c>
      <c r="H6" s="13">
        <v>1.282</v>
      </c>
      <c r="I6" s="15">
        <v>0.80400000000000005</v>
      </c>
      <c r="J6" s="13">
        <v>0.50900000000000001</v>
      </c>
      <c r="K6" s="13">
        <v>0.61199999999999999</v>
      </c>
      <c r="L6" s="14">
        <v>1.4279999999999999</v>
      </c>
      <c r="M6" s="13">
        <v>0.54400000000000004</v>
      </c>
      <c r="N6" s="13">
        <v>0.434</v>
      </c>
      <c r="O6" s="13">
        <v>0.308</v>
      </c>
      <c r="P6" s="13">
        <v>0</v>
      </c>
    </row>
    <row r="7" spans="1:16" ht="20.149999999999999" customHeight="1" x14ac:dyDescent="0.3">
      <c r="A7" s="5">
        <f t="shared" si="1"/>
        <v>2.8</v>
      </c>
      <c r="B7" s="13">
        <v>0.40899999999999997</v>
      </c>
      <c r="C7" s="13">
        <v>0</v>
      </c>
      <c r="D7" s="13">
        <v>0.224</v>
      </c>
      <c r="E7" s="13">
        <v>0.71499999999999997</v>
      </c>
      <c r="F7" s="14">
        <v>0.752</v>
      </c>
      <c r="G7" s="13">
        <v>1.3180000000000001</v>
      </c>
      <c r="H7" s="13">
        <v>0.97899999999999998</v>
      </c>
      <c r="I7" s="15">
        <v>0.50700000000000001</v>
      </c>
      <c r="J7" s="13">
        <v>0.32500000000000001</v>
      </c>
      <c r="K7" s="13">
        <v>0.501</v>
      </c>
      <c r="L7" s="14">
        <v>0.39200000000000002</v>
      </c>
      <c r="M7" s="13">
        <v>0.311</v>
      </c>
      <c r="N7" s="13">
        <v>0.34399999999999997</v>
      </c>
      <c r="O7" s="13">
        <v>0</v>
      </c>
      <c r="P7" s="13">
        <v>0.32100000000000001</v>
      </c>
    </row>
    <row r="8" spans="1:16" ht="20.149999999999999" customHeight="1" x14ac:dyDescent="0.3">
      <c r="A8" s="5">
        <f t="shared" si="1"/>
        <v>2.4</v>
      </c>
      <c r="B8" s="15">
        <v>0.18</v>
      </c>
      <c r="C8" s="15">
        <v>0</v>
      </c>
      <c r="D8" s="15">
        <v>0.28100000000000003</v>
      </c>
      <c r="E8" s="15">
        <v>0.57199999999999995</v>
      </c>
      <c r="F8" s="14">
        <v>0.77400000000000002</v>
      </c>
      <c r="G8" s="15">
        <v>1.1539999999999999</v>
      </c>
      <c r="H8" s="15">
        <v>0.52400000000000002</v>
      </c>
      <c r="I8" s="15">
        <v>1.089</v>
      </c>
      <c r="J8" s="15">
        <v>0.745</v>
      </c>
      <c r="K8" s="15">
        <v>0.998</v>
      </c>
      <c r="L8" s="14">
        <v>0.53</v>
      </c>
      <c r="M8" s="15">
        <v>0.122</v>
      </c>
      <c r="N8" s="15">
        <v>0.96299999999999997</v>
      </c>
      <c r="O8" s="15">
        <v>0</v>
      </c>
      <c r="P8" s="15">
        <v>0.41499999999999998</v>
      </c>
    </row>
    <row r="9" spans="1:16" ht="20.149999999999999" customHeight="1" x14ac:dyDescent="0.3">
      <c r="A9" s="5">
        <f t="shared" si="1"/>
        <v>2</v>
      </c>
      <c r="B9" s="13">
        <v>0.10199999999999999</v>
      </c>
      <c r="C9" s="13">
        <v>4.4999999999999998E-2</v>
      </c>
      <c r="D9" s="13">
        <v>0.13400000000000001</v>
      </c>
      <c r="E9" s="13">
        <v>0.93600000000000005</v>
      </c>
      <c r="F9" s="14">
        <v>1.3939999999999999</v>
      </c>
      <c r="G9" s="13">
        <v>1.3220000000000001</v>
      </c>
      <c r="H9" s="13">
        <v>1.1679999999999999</v>
      </c>
      <c r="I9" s="15">
        <v>1.2290000000000001</v>
      </c>
      <c r="J9" s="13">
        <v>0.76800000000000002</v>
      </c>
      <c r="K9" s="13">
        <v>1.54</v>
      </c>
      <c r="L9" s="14">
        <v>0.747</v>
      </c>
      <c r="M9" s="13">
        <v>0.71799999999999997</v>
      </c>
      <c r="N9" s="13">
        <v>0.93799999999999994</v>
      </c>
      <c r="O9" s="13">
        <v>0.23</v>
      </c>
      <c r="P9" s="13">
        <v>0.52700000000000002</v>
      </c>
    </row>
    <row r="10" spans="1:16" ht="20.149999999999999" customHeight="1" x14ac:dyDescent="0.3">
      <c r="A10" s="5">
        <f t="shared" si="1"/>
        <v>1.6</v>
      </c>
      <c r="B10" s="13">
        <v>0.29799999999999999</v>
      </c>
      <c r="C10" s="13">
        <v>3.5999999999999997E-2</v>
      </c>
      <c r="D10" s="13">
        <v>0.193</v>
      </c>
      <c r="E10" s="13">
        <v>1.0720000000000001</v>
      </c>
      <c r="F10" s="14">
        <v>1.764</v>
      </c>
      <c r="G10" s="13">
        <v>1.593</v>
      </c>
      <c r="H10" s="13">
        <v>1.59</v>
      </c>
      <c r="I10" s="15">
        <v>1.3220000000000001</v>
      </c>
      <c r="J10" s="13">
        <v>0.86299999999999999</v>
      </c>
      <c r="K10" s="13">
        <v>0.99199999999999999</v>
      </c>
      <c r="L10" s="14">
        <v>1.3819999999999999</v>
      </c>
      <c r="M10" s="13">
        <v>0.98599999999999999</v>
      </c>
      <c r="N10" s="13">
        <v>0.94599999999999995</v>
      </c>
      <c r="O10" s="13">
        <v>0.38700000000000001</v>
      </c>
      <c r="P10" s="13">
        <v>0.45500000000000002</v>
      </c>
    </row>
    <row r="11" spans="1:16" ht="20.149999999999999" customHeight="1" x14ac:dyDescent="0.3">
      <c r="A11" s="5">
        <f t="shared" si="1"/>
        <v>1.2000000000000002</v>
      </c>
      <c r="B11" s="14">
        <v>0.33600000000000002</v>
      </c>
      <c r="C11" s="14">
        <v>0</v>
      </c>
      <c r="D11" s="14">
        <v>0.218</v>
      </c>
      <c r="E11" s="14">
        <v>0.496</v>
      </c>
      <c r="F11" s="14">
        <v>0.79100000000000004</v>
      </c>
      <c r="G11" s="14">
        <v>1.4810000000000001</v>
      </c>
      <c r="H11" s="14">
        <v>1.5740000000000001</v>
      </c>
      <c r="I11" s="14">
        <v>1.26</v>
      </c>
      <c r="J11" s="14">
        <v>0.246</v>
      </c>
      <c r="K11" s="14">
        <v>0.48299999999999998</v>
      </c>
      <c r="L11" s="14">
        <v>1.458</v>
      </c>
      <c r="M11" s="14">
        <v>0.84</v>
      </c>
      <c r="N11" s="14">
        <v>0.17499999999999999</v>
      </c>
      <c r="O11" s="14">
        <v>0.22700000000000001</v>
      </c>
      <c r="P11" s="14">
        <v>0.53600000000000003</v>
      </c>
    </row>
    <row r="12" spans="1:16" ht="20.149999999999999" customHeight="1" x14ac:dyDescent="0.3">
      <c r="A12" s="5">
        <f t="shared" si="1"/>
        <v>0.80000000000000016</v>
      </c>
      <c r="B12" s="13">
        <v>0.27200000000000002</v>
      </c>
      <c r="C12" s="13">
        <v>0</v>
      </c>
      <c r="D12" s="13">
        <v>0</v>
      </c>
      <c r="E12" s="13">
        <v>0.311</v>
      </c>
      <c r="F12" s="14">
        <v>7.9000000000000001E-2</v>
      </c>
      <c r="G12" s="13">
        <v>1.742</v>
      </c>
      <c r="H12" s="13">
        <v>1.4419999999999999</v>
      </c>
      <c r="I12" s="15">
        <v>0.79200000000000004</v>
      </c>
      <c r="J12" s="13">
        <v>0.36199999999999999</v>
      </c>
      <c r="K12" s="13">
        <v>0.75900000000000001</v>
      </c>
      <c r="L12" s="14">
        <v>0.91100000000000003</v>
      </c>
      <c r="M12" s="13">
        <v>0.13400000000000001</v>
      </c>
      <c r="N12" s="13">
        <v>0.32200000000000001</v>
      </c>
      <c r="O12" s="13">
        <v>0.55100000000000005</v>
      </c>
      <c r="P12" s="13">
        <v>0.56799999999999995</v>
      </c>
    </row>
    <row r="13" spans="1:16" ht="20.149999999999999" customHeight="1" x14ac:dyDescent="0.3">
      <c r="A13" s="5">
        <f t="shared" si="1"/>
        <v>0.40000000000000013</v>
      </c>
      <c r="B13" s="13">
        <v>0.16300000000000001</v>
      </c>
      <c r="C13" s="13">
        <v>0</v>
      </c>
      <c r="D13" s="13">
        <v>8.4000000000000005E-2</v>
      </c>
      <c r="E13" s="13">
        <v>0.26200000000000001</v>
      </c>
      <c r="F13" s="14">
        <v>0.23</v>
      </c>
      <c r="G13" s="13">
        <v>0.79100000000000004</v>
      </c>
      <c r="H13" s="13">
        <v>0.56799999999999995</v>
      </c>
      <c r="I13" s="15">
        <v>5.3999999999999999E-2</v>
      </c>
      <c r="J13" s="13">
        <v>7.5999999999999998E-2</v>
      </c>
      <c r="K13" s="13">
        <v>0.24</v>
      </c>
      <c r="L13" s="14">
        <v>0.29599999999999999</v>
      </c>
      <c r="M13" s="13">
        <v>0</v>
      </c>
      <c r="N13" s="13">
        <v>0.10100000000000001</v>
      </c>
      <c r="O13" s="13">
        <v>0.151</v>
      </c>
      <c r="P13" s="13">
        <v>0.20100000000000001</v>
      </c>
    </row>
    <row r="14" spans="1:16" ht="20.149999999999999" customHeight="1" x14ac:dyDescent="0.3">
      <c r="A14" s="5">
        <f t="shared" si="1"/>
        <v>0</v>
      </c>
      <c r="B14" s="13">
        <v>0.128</v>
      </c>
      <c r="C14" s="13">
        <v>0</v>
      </c>
      <c r="D14" s="13">
        <v>0.152</v>
      </c>
      <c r="E14" s="13">
        <v>0</v>
      </c>
      <c r="F14" s="14">
        <v>0</v>
      </c>
      <c r="G14" s="13">
        <v>1.7999999999999999E-2</v>
      </c>
      <c r="H14" s="13">
        <v>0.16800000000000001</v>
      </c>
      <c r="I14" s="15">
        <v>0</v>
      </c>
      <c r="J14" s="13">
        <v>0</v>
      </c>
      <c r="K14" s="13">
        <v>0</v>
      </c>
      <c r="L14" s="14">
        <v>5.8999999999999997E-2</v>
      </c>
      <c r="M14" s="13">
        <v>0</v>
      </c>
      <c r="N14" s="13">
        <v>0.26</v>
      </c>
      <c r="O14" s="13">
        <v>0</v>
      </c>
      <c r="P14" s="13">
        <v>0.32500000000000001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596C-2653-4D6A-9895-F94389911E28}">
  <dimension ref="A1:T33"/>
  <sheetViews>
    <sheetView tabSelected="1" zoomScale="85" zoomScaleNormal="85" workbookViewId="0">
      <selection activeCell="P17" sqref="P17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8">
        <v>3.4</v>
      </c>
      <c r="B2" s="18">
        <v>3.6</v>
      </c>
      <c r="C2" s="11">
        <v>1</v>
      </c>
      <c r="D2" s="12">
        <v>1.016</v>
      </c>
      <c r="E2" s="17">
        <f>AVERAGE(D2:D16)</f>
        <v>0.97193333333333354</v>
      </c>
      <c r="F2" s="17">
        <f>_xlfn.VAR.S(D2:D16)</f>
        <v>6.5796209523809226E-2</v>
      </c>
      <c r="H2" s="18">
        <v>5</v>
      </c>
      <c r="I2" s="18">
        <v>1.2</v>
      </c>
      <c r="J2" s="11">
        <v>1</v>
      </c>
      <c r="K2" s="12">
        <v>0.42299999999999999</v>
      </c>
      <c r="L2" s="17">
        <f>AVERAGE(K2:K16)</f>
        <v>0.48299999999999998</v>
      </c>
      <c r="M2" s="17">
        <f>_xlfn.VAR.S(K2:K16)</f>
        <v>2.0611428571428534E-2</v>
      </c>
      <c r="O2" s="18">
        <v>4.5999999999999996</v>
      </c>
      <c r="P2" s="18">
        <v>3.2</v>
      </c>
      <c r="Q2" s="11">
        <v>1</v>
      </c>
      <c r="R2" s="12">
        <v>0.54400000000000004</v>
      </c>
      <c r="S2" s="17">
        <f>AVERAGE(R2:R16)</f>
        <v>0.50919999999999999</v>
      </c>
      <c r="T2" s="17">
        <f>_xlfn.VAR.S(R2:R16)</f>
        <v>2.8878314285714364E-2</v>
      </c>
    </row>
    <row r="3" spans="1:20" ht="15" customHeight="1" x14ac:dyDescent="0.3">
      <c r="A3" s="18"/>
      <c r="B3" s="18"/>
      <c r="C3" s="11">
        <v>2</v>
      </c>
      <c r="D3" s="12">
        <v>0.97199999999999998</v>
      </c>
      <c r="E3" s="17"/>
      <c r="F3" s="17"/>
      <c r="H3" s="18"/>
      <c r="I3" s="18"/>
      <c r="J3" s="11">
        <v>2</v>
      </c>
      <c r="K3" s="12">
        <v>0.51800000000000002</v>
      </c>
      <c r="L3" s="17"/>
      <c r="M3" s="17"/>
      <c r="O3" s="18"/>
      <c r="P3" s="18"/>
      <c r="Q3" s="11">
        <v>2</v>
      </c>
      <c r="R3" s="12">
        <v>0.496</v>
      </c>
      <c r="S3" s="17"/>
      <c r="T3" s="17"/>
    </row>
    <row r="4" spans="1:20" ht="15" customHeight="1" x14ac:dyDescent="0.3">
      <c r="A4" s="18"/>
      <c r="B4" s="18"/>
      <c r="C4" s="11">
        <v>3</v>
      </c>
      <c r="D4" s="12">
        <v>0.84</v>
      </c>
      <c r="E4" s="17"/>
      <c r="F4" s="17"/>
      <c r="H4" s="18"/>
      <c r="I4" s="18"/>
      <c r="J4" s="11">
        <v>3</v>
      </c>
      <c r="K4" s="12">
        <v>0.36299999999999999</v>
      </c>
      <c r="L4" s="17"/>
      <c r="M4" s="17"/>
      <c r="O4" s="18"/>
      <c r="P4" s="18"/>
      <c r="Q4" s="11">
        <v>3</v>
      </c>
      <c r="R4" s="12">
        <v>0.67500000000000004</v>
      </c>
      <c r="S4" s="17"/>
      <c r="T4" s="17"/>
    </row>
    <row r="5" spans="1:20" ht="15" customHeight="1" x14ac:dyDescent="0.3">
      <c r="A5" s="18"/>
      <c r="B5" s="18"/>
      <c r="C5" s="11">
        <v>4</v>
      </c>
      <c r="D5" s="12">
        <v>0.56799999999999995</v>
      </c>
      <c r="E5" s="17"/>
      <c r="F5" s="17"/>
      <c r="H5" s="18"/>
      <c r="I5" s="18"/>
      <c r="J5" s="11">
        <v>4</v>
      </c>
      <c r="K5" s="12">
        <v>0.41099999999999998</v>
      </c>
      <c r="L5" s="17"/>
      <c r="M5" s="17"/>
      <c r="O5" s="18"/>
      <c r="P5" s="18"/>
      <c r="Q5" s="11">
        <v>4</v>
      </c>
      <c r="R5" s="12">
        <v>0.76300000000000001</v>
      </c>
      <c r="S5" s="17"/>
      <c r="T5" s="17"/>
    </row>
    <row r="6" spans="1:20" ht="15" customHeight="1" x14ac:dyDescent="0.3">
      <c r="A6" s="18"/>
      <c r="B6" s="18"/>
      <c r="C6" s="11">
        <v>5</v>
      </c>
      <c r="D6" s="12">
        <v>0.58299999999999996</v>
      </c>
      <c r="E6" s="17"/>
      <c r="F6" s="17"/>
      <c r="H6" s="18"/>
      <c r="I6" s="18"/>
      <c r="J6" s="11">
        <v>5</v>
      </c>
      <c r="K6" s="12">
        <v>0.38600000000000001</v>
      </c>
      <c r="L6" s="17"/>
      <c r="M6" s="17"/>
      <c r="O6" s="18"/>
      <c r="P6" s="18"/>
      <c r="Q6" s="11">
        <v>5</v>
      </c>
      <c r="R6" s="12">
        <v>0.78800000000000003</v>
      </c>
      <c r="S6" s="17"/>
      <c r="T6" s="17"/>
    </row>
    <row r="7" spans="1:20" ht="15" customHeight="1" x14ac:dyDescent="0.3">
      <c r="A7" s="18"/>
      <c r="B7" s="18"/>
      <c r="C7" s="11">
        <v>6</v>
      </c>
      <c r="D7" s="12">
        <v>0.75600000000000001</v>
      </c>
      <c r="E7" s="17"/>
      <c r="F7" s="17"/>
      <c r="H7" s="18"/>
      <c r="I7" s="18"/>
      <c r="J7" s="11">
        <v>6</v>
      </c>
      <c r="K7" s="12">
        <v>0.56699999999999995</v>
      </c>
      <c r="L7" s="17"/>
      <c r="M7" s="17"/>
      <c r="O7" s="18"/>
      <c r="P7" s="18"/>
      <c r="Q7" s="11">
        <v>6</v>
      </c>
      <c r="R7" s="12">
        <v>0.61099999999999999</v>
      </c>
      <c r="S7" s="17"/>
      <c r="T7" s="17"/>
    </row>
    <row r="8" spans="1:20" ht="15" customHeight="1" x14ac:dyDescent="0.3">
      <c r="A8" s="18"/>
      <c r="B8" s="18"/>
      <c r="C8" s="11">
        <v>7</v>
      </c>
      <c r="D8" s="12">
        <v>0.874</v>
      </c>
      <c r="E8" s="17"/>
      <c r="F8" s="17"/>
      <c r="H8" s="18"/>
      <c r="I8" s="18"/>
      <c r="J8" s="11">
        <v>7</v>
      </c>
      <c r="K8" s="12">
        <v>0.33400000000000002</v>
      </c>
      <c r="L8" s="17"/>
      <c r="M8" s="17"/>
      <c r="O8" s="18"/>
      <c r="P8" s="18"/>
      <c r="Q8" s="11">
        <v>7</v>
      </c>
      <c r="R8" s="12">
        <v>0.71499999999999997</v>
      </c>
      <c r="S8" s="17"/>
      <c r="T8" s="17"/>
    </row>
    <row r="9" spans="1:20" ht="15" customHeight="1" x14ac:dyDescent="0.3">
      <c r="A9" s="18"/>
      <c r="B9" s="18"/>
      <c r="C9" s="11">
        <v>8</v>
      </c>
      <c r="D9" s="12">
        <v>1.425</v>
      </c>
      <c r="E9" s="17"/>
      <c r="F9" s="17"/>
      <c r="H9" s="18"/>
      <c r="I9" s="18"/>
      <c r="J9" s="11">
        <v>8</v>
      </c>
      <c r="K9" s="12">
        <v>0.56499999999999995</v>
      </c>
      <c r="L9" s="17"/>
      <c r="M9" s="17"/>
      <c r="O9" s="18"/>
      <c r="P9" s="18"/>
      <c r="Q9" s="11">
        <v>8</v>
      </c>
      <c r="R9" s="12">
        <v>0.46700000000000003</v>
      </c>
      <c r="S9" s="17"/>
      <c r="T9" s="17"/>
    </row>
    <row r="10" spans="1:20" ht="15" customHeight="1" x14ac:dyDescent="0.3">
      <c r="A10" s="18"/>
      <c r="B10" s="18"/>
      <c r="C10" s="11">
        <v>9</v>
      </c>
      <c r="D10" s="12">
        <v>0.753</v>
      </c>
      <c r="E10" s="17"/>
      <c r="F10" s="17"/>
      <c r="H10" s="18"/>
      <c r="I10" s="18"/>
      <c r="J10" s="11">
        <v>9</v>
      </c>
      <c r="K10" s="12">
        <v>0.68</v>
      </c>
      <c r="L10" s="17"/>
      <c r="M10" s="17"/>
      <c r="O10" s="18"/>
      <c r="P10" s="18"/>
      <c r="Q10" s="11">
        <v>9</v>
      </c>
      <c r="R10" s="12">
        <v>0.36499999999999999</v>
      </c>
      <c r="S10" s="17"/>
      <c r="T10" s="17"/>
    </row>
    <row r="11" spans="1:20" ht="15" customHeight="1" x14ac:dyDescent="0.3">
      <c r="A11" s="18"/>
      <c r="B11" s="18"/>
      <c r="C11" s="11">
        <v>10</v>
      </c>
      <c r="D11" s="12">
        <v>0.94899999999999995</v>
      </c>
      <c r="E11" s="17"/>
      <c r="F11" s="17"/>
      <c r="H11" s="18"/>
      <c r="I11" s="18"/>
      <c r="J11" s="11">
        <v>10</v>
      </c>
      <c r="K11" s="12">
        <v>0.501</v>
      </c>
      <c r="L11" s="17"/>
      <c r="M11" s="17"/>
      <c r="O11" s="18"/>
      <c r="P11" s="18"/>
      <c r="Q11" s="11">
        <v>10</v>
      </c>
      <c r="R11" s="12">
        <v>0.46600000000000003</v>
      </c>
      <c r="S11" s="17"/>
      <c r="T11" s="17"/>
    </row>
    <row r="12" spans="1:20" ht="15" customHeight="1" x14ac:dyDescent="0.3">
      <c r="A12" s="18"/>
      <c r="B12" s="18"/>
      <c r="C12" s="11">
        <v>11</v>
      </c>
      <c r="D12" s="12">
        <v>1.159</v>
      </c>
      <c r="E12" s="17"/>
      <c r="F12" s="17"/>
      <c r="H12" s="18"/>
      <c r="I12" s="18"/>
      <c r="J12" s="11">
        <v>11</v>
      </c>
      <c r="K12" s="12">
        <v>0.246</v>
      </c>
      <c r="L12" s="17"/>
      <c r="M12" s="17"/>
      <c r="O12" s="18"/>
      <c r="P12" s="18"/>
      <c r="Q12" s="11">
        <v>11</v>
      </c>
      <c r="R12" s="12">
        <v>0.443</v>
      </c>
      <c r="S12" s="17"/>
      <c r="T12" s="17"/>
    </row>
    <row r="13" spans="1:20" ht="15" customHeight="1" x14ac:dyDescent="0.3">
      <c r="A13" s="18"/>
      <c r="B13" s="18"/>
      <c r="C13" s="11">
        <v>12</v>
      </c>
      <c r="D13" s="12">
        <v>0.92100000000000004</v>
      </c>
      <c r="E13" s="17"/>
      <c r="F13" s="17"/>
      <c r="H13" s="18"/>
      <c r="I13" s="18"/>
      <c r="J13" s="11">
        <v>12</v>
      </c>
      <c r="K13" s="12">
        <v>0.41199999999999998</v>
      </c>
      <c r="L13" s="17"/>
      <c r="M13" s="17"/>
      <c r="O13" s="18"/>
      <c r="P13" s="18"/>
      <c r="Q13" s="11">
        <v>12</v>
      </c>
      <c r="R13" s="12">
        <v>0.23899999999999999</v>
      </c>
      <c r="S13" s="17"/>
      <c r="T13" s="17"/>
    </row>
    <row r="14" spans="1:20" ht="15" customHeight="1" x14ac:dyDescent="0.3">
      <c r="A14" s="18"/>
      <c r="B14" s="18"/>
      <c r="C14" s="11">
        <v>13</v>
      </c>
      <c r="D14" s="12">
        <v>1.246</v>
      </c>
      <c r="E14" s="17"/>
      <c r="F14" s="17"/>
      <c r="H14" s="18"/>
      <c r="I14" s="18"/>
      <c r="J14" s="11">
        <v>13</v>
      </c>
      <c r="K14" s="12">
        <v>0.42799999999999999</v>
      </c>
      <c r="L14" s="17"/>
      <c r="M14" s="17"/>
      <c r="O14" s="18"/>
      <c r="P14" s="18"/>
      <c r="Q14" s="11">
        <v>13</v>
      </c>
      <c r="R14" s="12">
        <v>0.36499999999999999</v>
      </c>
      <c r="S14" s="17"/>
      <c r="T14" s="17"/>
    </row>
    <row r="15" spans="1:20" ht="15" customHeight="1" x14ac:dyDescent="0.3">
      <c r="A15" s="18"/>
      <c r="B15" s="18"/>
      <c r="C15" s="11">
        <v>14</v>
      </c>
      <c r="D15" s="12">
        <v>1.274</v>
      </c>
      <c r="E15" s="17"/>
      <c r="F15" s="17"/>
      <c r="H15" s="18"/>
      <c r="I15" s="18"/>
      <c r="J15" s="11">
        <v>14</v>
      </c>
      <c r="K15" s="12">
        <v>0.79600000000000004</v>
      </c>
      <c r="L15" s="17"/>
      <c r="M15" s="17"/>
      <c r="O15" s="18"/>
      <c r="P15" s="18"/>
      <c r="Q15" s="11">
        <v>14</v>
      </c>
      <c r="R15" s="12">
        <v>0.28899999999999998</v>
      </c>
      <c r="S15" s="17"/>
      <c r="T15" s="17"/>
    </row>
    <row r="16" spans="1:20" ht="15" customHeight="1" x14ac:dyDescent="0.3">
      <c r="A16" s="18"/>
      <c r="B16" s="18"/>
      <c r="C16" s="11">
        <v>15</v>
      </c>
      <c r="D16" s="12">
        <v>1.2430000000000001</v>
      </c>
      <c r="E16" s="17"/>
      <c r="F16" s="17"/>
      <c r="H16" s="18"/>
      <c r="I16" s="18"/>
      <c r="J16" s="11">
        <v>15</v>
      </c>
      <c r="K16" s="12">
        <v>0.61499999999999999</v>
      </c>
      <c r="L16" s="17"/>
      <c r="M16" s="17"/>
      <c r="O16" s="18"/>
      <c r="P16" s="18"/>
      <c r="Q16" s="11">
        <v>15</v>
      </c>
      <c r="R16" s="12">
        <v>0.41199999999999998</v>
      </c>
      <c r="S16" s="17"/>
      <c r="T16" s="17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8">
        <v>4.2</v>
      </c>
      <c r="B19" s="18">
        <v>2.4</v>
      </c>
      <c r="C19" s="11">
        <v>1</v>
      </c>
      <c r="D19" s="12">
        <v>1.304</v>
      </c>
      <c r="E19" s="17">
        <f>AVERAGE(D19:D33)</f>
        <v>1.0894000000000001</v>
      </c>
      <c r="F19" s="17">
        <f>_xlfn.VAR.S(D19:D33)</f>
        <v>8.7951685714285688E-2</v>
      </c>
      <c r="H19" s="18">
        <v>6.2</v>
      </c>
      <c r="I19" s="18">
        <v>0</v>
      </c>
      <c r="J19" s="11">
        <v>1</v>
      </c>
      <c r="K19" s="12">
        <v>0.113</v>
      </c>
      <c r="L19" s="17">
        <f>AVERAGE(K19:K33)</f>
        <v>0.26046666666666668</v>
      </c>
      <c r="M19" s="17">
        <f>_xlfn.VAR.S(K19:K33)</f>
        <v>2.2301838095238082E-2</v>
      </c>
      <c r="O19" s="18">
        <v>0</v>
      </c>
      <c r="P19" s="18">
        <v>4.8</v>
      </c>
      <c r="Q19" s="11">
        <v>1</v>
      </c>
      <c r="R19" s="12">
        <v>0.17100000000000001</v>
      </c>
      <c r="S19" s="17">
        <f>AVERAGE(R19:R33)</f>
        <v>0.2266</v>
      </c>
      <c r="T19" s="17">
        <f>_xlfn.VAR.S(R19:R33)</f>
        <v>1.4409257142857148E-2</v>
      </c>
    </row>
    <row r="20" spans="1:20" ht="15" customHeight="1" x14ac:dyDescent="0.3">
      <c r="A20" s="18"/>
      <c r="B20" s="18"/>
      <c r="C20" s="11">
        <v>2</v>
      </c>
      <c r="D20" s="12">
        <v>0.93799999999999994</v>
      </c>
      <c r="E20" s="17"/>
      <c r="F20" s="17"/>
      <c r="H20" s="18"/>
      <c r="I20" s="18"/>
      <c r="J20" s="11">
        <v>2</v>
      </c>
      <c r="K20" s="12">
        <v>0.129</v>
      </c>
      <c r="L20" s="17"/>
      <c r="M20" s="17"/>
      <c r="O20" s="18"/>
      <c r="P20" s="18"/>
      <c r="Q20" s="11">
        <v>2</v>
      </c>
      <c r="R20" s="12">
        <v>0.35099999999999998</v>
      </c>
      <c r="S20" s="17"/>
      <c r="T20" s="17"/>
    </row>
    <row r="21" spans="1:20" ht="15" customHeight="1" x14ac:dyDescent="0.3">
      <c r="A21" s="18"/>
      <c r="B21" s="18"/>
      <c r="C21" s="11">
        <v>3</v>
      </c>
      <c r="D21" s="12">
        <v>1.3380000000000001</v>
      </c>
      <c r="E21" s="17"/>
      <c r="F21" s="17"/>
      <c r="H21" s="18"/>
      <c r="I21" s="18"/>
      <c r="J21" s="11">
        <v>3</v>
      </c>
      <c r="K21" s="12">
        <v>0.215</v>
      </c>
      <c r="L21" s="17"/>
      <c r="M21" s="17"/>
      <c r="O21" s="18"/>
      <c r="P21" s="18"/>
      <c r="Q21" s="11">
        <v>3</v>
      </c>
      <c r="R21" s="12">
        <v>0.27500000000000002</v>
      </c>
      <c r="S21" s="17"/>
      <c r="T21" s="17"/>
    </row>
    <row r="22" spans="1:20" ht="15" customHeight="1" x14ac:dyDescent="0.3">
      <c r="A22" s="18"/>
      <c r="B22" s="18"/>
      <c r="C22" s="11">
        <v>4</v>
      </c>
      <c r="D22" s="12">
        <v>1.198</v>
      </c>
      <c r="E22" s="17"/>
      <c r="F22" s="17"/>
      <c r="H22" s="18"/>
      <c r="I22" s="18"/>
      <c r="J22" s="11">
        <v>4</v>
      </c>
      <c r="K22" s="12">
        <v>0.51900000000000002</v>
      </c>
      <c r="L22" s="17"/>
      <c r="M22" s="17"/>
      <c r="O22" s="18"/>
      <c r="P22" s="18"/>
      <c r="Q22" s="11">
        <v>4</v>
      </c>
      <c r="R22" s="12">
        <v>0.32300000000000001</v>
      </c>
      <c r="S22" s="17"/>
      <c r="T22" s="17"/>
    </row>
    <row r="23" spans="1:20" ht="15" customHeight="1" x14ac:dyDescent="0.3">
      <c r="A23" s="18"/>
      <c r="B23" s="18"/>
      <c r="C23" s="11">
        <v>5</v>
      </c>
      <c r="D23" s="12">
        <v>0.77</v>
      </c>
      <c r="E23" s="17"/>
      <c r="F23" s="17"/>
      <c r="H23" s="18"/>
      <c r="I23" s="18"/>
      <c r="J23" s="11">
        <v>5</v>
      </c>
      <c r="K23" s="12">
        <v>0.48499999999999999</v>
      </c>
      <c r="L23" s="17"/>
      <c r="M23" s="17"/>
      <c r="O23" s="18"/>
      <c r="P23" s="18"/>
      <c r="Q23" s="11">
        <v>5</v>
      </c>
      <c r="R23" s="12">
        <v>0.28899999999999998</v>
      </c>
      <c r="S23" s="17"/>
      <c r="T23" s="17"/>
    </row>
    <row r="24" spans="1:20" ht="15" customHeight="1" x14ac:dyDescent="0.3">
      <c r="A24" s="18"/>
      <c r="B24" s="18"/>
      <c r="C24" s="11">
        <v>6</v>
      </c>
      <c r="D24" s="12">
        <v>1.274</v>
      </c>
      <c r="E24" s="17"/>
      <c r="F24" s="17"/>
      <c r="H24" s="18"/>
      <c r="I24" s="18"/>
      <c r="J24" s="11">
        <v>6</v>
      </c>
      <c r="K24" s="12">
        <v>0.10299999999999999</v>
      </c>
      <c r="L24" s="17"/>
      <c r="M24" s="17"/>
      <c r="O24" s="18"/>
      <c r="P24" s="18"/>
      <c r="Q24" s="11">
        <v>6</v>
      </c>
      <c r="R24" s="12">
        <v>0.316</v>
      </c>
      <c r="S24" s="17"/>
      <c r="T24" s="17"/>
    </row>
    <row r="25" spans="1:20" ht="15" customHeight="1" x14ac:dyDescent="0.3">
      <c r="A25" s="18"/>
      <c r="B25" s="18"/>
      <c r="C25" s="11">
        <v>7</v>
      </c>
      <c r="D25" s="12">
        <v>0.97899999999999998</v>
      </c>
      <c r="E25" s="17"/>
      <c r="F25" s="17"/>
      <c r="H25" s="18"/>
      <c r="I25" s="18"/>
      <c r="J25" s="11">
        <v>7</v>
      </c>
      <c r="K25" s="12">
        <v>0.11799999999999999</v>
      </c>
      <c r="L25" s="17"/>
      <c r="M25" s="17"/>
      <c r="O25" s="18"/>
      <c r="P25" s="18"/>
      <c r="Q25" s="11">
        <v>7</v>
      </c>
      <c r="R25" s="12">
        <v>0.29899999999999999</v>
      </c>
      <c r="S25" s="17"/>
      <c r="T25" s="17"/>
    </row>
    <row r="26" spans="1:20" ht="15" customHeight="1" x14ac:dyDescent="0.3">
      <c r="A26" s="18"/>
      <c r="B26" s="18"/>
      <c r="C26" s="11">
        <v>8</v>
      </c>
      <c r="D26" s="12">
        <v>1.0049999999999999</v>
      </c>
      <c r="E26" s="17"/>
      <c r="F26" s="17"/>
      <c r="H26" s="18"/>
      <c r="I26" s="18"/>
      <c r="J26" s="11">
        <v>8</v>
      </c>
      <c r="K26" s="12">
        <v>0.12</v>
      </c>
      <c r="L26" s="17"/>
      <c r="M26" s="17"/>
      <c r="O26" s="18"/>
      <c r="P26" s="18"/>
      <c r="Q26" s="11">
        <v>8</v>
      </c>
      <c r="R26" s="12">
        <v>0.311</v>
      </c>
      <c r="S26" s="17"/>
      <c r="T26" s="17"/>
    </row>
    <row r="27" spans="1:20" ht="15" customHeight="1" x14ac:dyDescent="0.3">
      <c r="A27" s="18"/>
      <c r="B27" s="18"/>
      <c r="C27" s="11">
        <v>9</v>
      </c>
      <c r="D27" s="12">
        <v>1.4419999999999999</v>
      </c>
      <c r="E27" s="17"/>
      <c r="F27" s="17"/>
      <c r="H27" s="18"/>
      <c r="I27" s="18"/>
      <c r="J27" s="11">
        <v>9</v>
      </c>
      <c r="K27" s="12">
        <v>0.13600000000000001</v>
      </c>
      <c r="L27" s="17"/>
      <c r="M27" s="17"/>
      <c r="O27" s="18"/>
      <c r="P27" s="18"/>
      <c r="Q27" s="11">
        <v>9</v>
      </c>
      <c r="R27" s="12">
        <v>8.4000000000000005E-2</v>
      </c>
      <c r="S27" s="17"/>
      <c r="T27" s="17"/>
    </row>
    <row r="28" spans="1:20" ht="15" customHeight="1" x14ac:dyDescent="0.3">
      <c r="A28" s="18"/>
      <c r="B28" s="18"/>
      <c r="C28" s="11">
        <v>10</v>
      </c>
      <c r="D28" s="12">
        <v>1.1140000000000001</v>
      </c>
      <c r="E28" s="17"/>
      <c r="F28" s="17"/>
      <c r="H28" s="18"/>
      <c r="I28" s="18"/>
      <c r="J28" s="11">
        <v>10</v>
      </c>
      <c r="K28" s="12">
        <v>0.32800000000000001</v>
      </c>
      <c r="L28" s="17"/>
      <c r="M28" s="17"/>
      <c r="O28" s="18"/>
      <c r="P28" s="18"/>
      <c r="Q28" s="11">
        <v>10</v>
      </c>
      <c r="R28" s="12">
        <v>1.0999999999999999E-2</v>
      </c>
      <c r="S28" s="17"/>
      <c r="T28" s="17"/>
    </row>
    <row r="29" spans="1:20" ht="15" customHeight="1" x14ac:dyDescent="0.3">
      <c r="A29" s="18"/>
      <c r="B29" s="18"/>
      <c r="C29" s="11">
        <v>11</v>
      </c>
      <c r="D29" s="12">
        <v>1.6830000000000001</v>
      </c>
      <c r="E29" s="17"/>
      <c r="F29" s="17"/>
      <c r="H29" s="18"/>
      <c r="I29" s="18"/>
      <c r="J29" s="11">
        <v>11</v>
      </c>
      <c r="K29" s="12">
        <v>0.47799999999999998</v>
      </c>
      <c r="L29" s="17"/>
      <c r="M29" s="17"/>
      <c r="O29" s="18"/>
      <c r="P29" s="18"/>
      <c r="Q29" s="11">
        <v>11</v>
      </c>
      <c r="R29" s="12">
        <v>0</v>
      </c>
      <c r="S29" s="17"/>
      <c r="T29" s="17"/>
    </row>
    <row r="30" spans="1:20" ht="15" customHeight="1" x14ac:dyDescent="0.3">
      <c r="A30" s="18"/>
      <c r="B30" s="18"/>
      <c r="C30" s="11">
        <v>12</v>
      </c>
      <c r="D30" s="12">
        <v>0.88800000000000001</v>
      </c>
      <c r="E30" s="17"/>
      <c r="F30" s="17"/>
      <c r="H30" s="18"/>
      <c r="I30" s="18"/>
      <c r="J30" s="11">
        <v>12</v>
      </c>
      <c r="K30" s="12">
        <v>0.24299999999999999</v>
      </c>
      <c r="L30" s="17"/>
      <c r="M30" s="17"/>
      <c r="O30" s="18"/>
      <c r="P30" s="18"/>
      <c r="Q30" s="11">
        <v>12</v>
      </c>
      <c r="R30" s="12">
        <v>0.125</v>
      </c>
      <c r="S30" s="17"/>
      <c r="T30" s="17"/>
    </row>
    <row r="31" spans="1:20" ht="15" customHeight="1" x14ac:dyDescent="0.3">
      <c r="A31" s="18"/>
      <c r="B31" s="18"/>
      <c r="C31" s="11">
        <v>13</v>
      </c>
      <c r="D31" s="12">
        <v>1.1359999999999999</v>
      </c>
      <c r="E31" s="17"/>
      <c r="F31" s="17"/>
      <c r="H31" s="18"/>
      <c r="I31" s="18"/>
      <c r="J31" s="11">
        <v>13</v>
      </c>
      <c r="K31" s="12">
        <v>0.30499999999999999</v>
      </c>
      <c r="L31" s="17"/>
      <c r="M31" s="17"/>
      <c r="O31" s="18"/>
      <c r="P31" s="18"/>
      <c r="Q31" s="11">
        <v>13</v>
      </c>
      <c r="R31" s="12">
        <v>0.20699999999999999</v>
      </c>
      <c r="S31" s="17"/>
      <c r="T31" s="17"/>
    </row>
    <row r="32" spans="1:20" ht="15" customHeight="1" x14ac:dyDescent="0.3">
      <c r="A32" s="18"/>
      <c r="B32" s="18"/>
      <c r="C32" s="11">
        <v>14</v>
      </c>
      <c r="D32" s="12">
        <v>0.66900000000000004</v>
      </c>
      <c r="E32" s="17"/>
      <c r="F32" s="17"/>
      <c r="H32" s="18"/>
      <c r="I32" s="18"/>
      <c r="J32" s="11">
        <v>14</v>
      </c>
      <c r="K32" s="12">
        <v>0.39400000000000002</v>
      </c>
      <c r="L32" s="17"/>
      <c r="M32" s="17"/>
      <c r="O32" s="18"/>
      <c r="P32" s="18"/>
      <c r="Q32" s="11">
        <v>14</v>
      </c>
      <c r="R32" s="12">
        <v>0.29099999999999998</v>
      </c>
      <c r="S32" s="17"/>
      <c r="T32" s="17"/>
    </row>
    <row r="33" spans="1:20" ht="15" customHeight="1" x14ac:dyDescent="0.3">
      <c r="A33" s="18"/>
      <c r="B33" s="18"/>
      <c r="C33" s="11">
        <v>15</v>
      </c>
      <c r="D33" s="12">
        <v>0.60299999999999998</v>
      </c>
      <c r="E33" s="17"/>
      <c r="F33" s="17"/>
      <c r="H33" s="18"/>
      <c r="I33" s="18"/>
      <c r="J33" s="11">
        <v>15</v>
      </c>
      <c r="K33" s="12">
        <v>0.221</v>
      </c>
      <c r="L33" s="17"/>
      <c r="M33" s="17"/>
      <c r="O33" s="18"/>
      <c r="P33" s="18"/>
      <c r="Q33" s="11">
        <v>15</v>
      </c>
      <c r="R33" s="12">
        <v>0.34599999999999997</v>
      </c>
      <c r="S33" s="17"/>
      <c r="T33" s="17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README</vt:lpstr>
      <vt:lpstr>SETUP</vt:lpstr>
      <vt:lpstr>FANS</vt:lpstr>
      <vt:lpstr>z020</vt:lpstr>
      <vt:lpstr>z020_TS</vt:lpstr>
      <vt:lpstr>z035</vt:lpstr>
      <vt:lpstr>z035_TS</vt:lpstr>
      <vt:lpstr>z050</vt:lpstr>
      <vt:lpstr>z050_TS</vt:lpstr>
      <vt:lpstr>z075</vt:lpstr>
      <vt:lpstr>z075_TS</vt:lpstr>
      <vt:lpstr>z110</vt:lpstr>
      <vt:lpstr>z110_TS</vt:lpstr>
      <vt:lpstr>z160</vt:lpstr>
      <vt:lpstr>z160_TS</vt:lpstr>
      <vt:lpstr>z220</vt:lpstr>
      <vt:lpstr>z220_TS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Hanchen Li</dc:creator>
  <cp:lastModifiedBy>Hanchen Li</cp:lastModifiedBy>
  <dcterms:created xsi:type="dcterms:W3CDTF">2015-06-05T18:19:34Z</dcterms:created>
  <dcterms:modified xsi:type="dcterms:W3CDTF">2026-02-01T22:22:47Z</dcterms:modified>
</cp:coreProperties>
</file>